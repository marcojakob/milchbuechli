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codeName="{AE6600E7-7A62-396C-DE95-9942FA9DD81E}"/>
  <workbookPr codeName="DieseArbeitsmappe" autoCompressPictures="0" defaultThemeVersion="124226"/>
  <mc:AlternateContent xmlns:mc="http://schemas.openxmlformats.org/markup-compatibility/2006">
    <mc:Choice Requires="x15">
      <x15ac:absPath xmlns:x15ac="http://schemas.microsoft.com/office/spreadsheetml/2010/11/ac" url="D:\GitHub\milchbuechli\"/>
    </mc:Choice>
  </mc:AlternateContent>
  <xr:revisionPtr revIDLastSave="0" documentId="13_ncr:1_{3949C119-8BF8-46F3-B84A-26CE387212E7}" xr6:coauthVersionLast="47" xr6:coauthVersionMax="47" xr10:uidLastSave="{00000000-0000-0000-0000-000000000000}"/>
  <bookViews>
    <workbookView xWindow="13035" yWindow="2175" windowWidth="13920" windowHeight="11385" tabRatio="470" xr2:uid="{00000000-000D-0000-FFFF-FFFF00000000}"/>
  </bookViews>
  <sheets>
    <sheet name="Kategorien" sheetId="55" r:id="rId1"/>
    <sheet name="Jahresabschluss" sheetId="52" r:id="rId2"/>
    <sheet name="Einnahmen" sheetId="54" r:id="rId3"/>
    <sheet name="Ausgaben" sheetId="1" r:id="rId4"/>
    <sheet name="Aktiven" sheetId="56" r:id="rId5"/>
    <sheet name="Passiven" sheetId="57" r:id="rId6"/>
  </sheets>
  <definedNames>
    <definedName name="_xlnm._FilterDatabase" localSheetId="4" hidden="1">Aktiven!$B$8:$C$8</definedName>
    <definedName name="_xlnm._FilterDatabase" localSheetId="3" hidden="1">Ausgaben!$B$8:$E$8</definedName>
    <definedName name="_xlnm._FilterDatabase" localSheetId="2" hidden="1">Einnahmen!$B$8:$E$8</definedName>
    <definedName name="_xlnm._FilterDatabase" localSheetId="5" hidden="1">Passiven!$B$8:$C$8</definedName>
    <definedName name="Ausgabekategorien">Kategorien!$B$7:$B$7</definedName>
    <definedName name="_xlnm.Print_Titles" localSheetId="3">Ausgaben!$8:$8</definedName>
    <definedName name="_xlnm.Print_Titles" localSheetId="2">Einnahmen!$8:$8</definedName>
    <definedName name="Print_Area" localSheetId="1">Jahresabschluss!$B$2:$B$44</definedName>
  </definedNames>
  <calcPr calcId="191029" concurrentCalc="0"/>
  <webPublishing codePage="125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 i="54" l="1"/>
  <c r="D7" i="52"/>
  <c r="B10" i="52"/>
  <c r="D10" i="52"/>
  <c r="B11" i="52"/>
  <c r="D11" i="52"/>
  <c r="B12" i="52"/>
  <c r="D12" i="52"/>
  <c r="B13" i="52"/>
  <c r="D13" i="52"/>
  <c r="B14" i="52"/>
  <c r="D14" i="52"/>
  <c r="B15" i="52"/>
  <c r="D15" i="52"/>
  <c r="B16" i="52"/>
  <c r="D16" i="52"/>
  <c r="B17" i="52"/>
  <c r="D17" i="52"/>
  <c r="B18" i="52"/>
  <c r="D18" i="52"/>
  <c r="B19" i="52"/>
  <c r="D19" i="52"/>
  <c r="B20" i="52"/>
  <c r="D20" i="52"/>
  <c r="B21" i="52"/>
  <c r="D21" i="52"/>
  <c r="B22" i="52"/>
  <c r="D22" i="52"/>
  <c r="B23" i="52"/>
  <c r="D23" i="52"/>
  <c r="B24" i="52"/>
  <c r="D24" i="52"/>
  <c r="B25" i="52"/>
  <c r="D25" i="52"/>
  <c r="B26" i="52"/>
  <c r="D26" i="52"/>
  <c r="D27" i="52"/>
  <c r="D30" i="52"/>
  <c r="B30" i="52"/>
  <c r="E6" i="1"/>
  <c r="C6" i="57"/>
  <c r="C6" i="56"/>
  <c r="B4" i="52"/>
  <c r="B3" i="52"/>
  <c r="B4" i="57"/>
  <c r="B3" i="57"/>
  <c r="B3" i="56"/>
  <c r="B4" i="56"/>
  <c r="B4" i="54"/>
  <c r="B3" i="54"/>
  <c r="B4" i="1"/>
  <c r="B3" i="1"/>
</calcChain>
</file>

<file path=xl/sharedStrings.xml><?xml version="1.0" encoding="utf-8"?>
<sst xmlns="http://schemas.openxmlformats.org/spreadsheetml/2006/main" count="71" uniqueCount="60">
  <si>
    <t>Ausgaben</t>
  </si>
  <si>
    <t>Datum</t>
  </si>
  <si>
    <t>Betrag</t>
  </si>
  <si>
    <t>Beschreibung</t>
  </si>
  <si>
    <t>Rechnungsdatum</t>
  </si>
  <si>
    <t>Zahlungseingang</t>
  </si>
  <si>
    <t>Kategorie</t>
  </si>
  <si>
    <t>Ausgaben für Website, Flyer, Visitenkarten, etc.</t>
  </si>
  <si>
    <t>Alle Ausgaben, die direkt für die Erledigung von Arbeiten für Kunden benötigt werden. Dies sind zum Beispiel für einen Architekten die Kosten zum Ausdruck von Bauplänen oder für einen Schreiner das Holz für einen Auftrag.</t>
  </si>
  <si>
    <t>10 Bankspesen</t>
  </si>
  <si>
    <t>11 Werbung/Marketing</t>
  </si>
  <si>
    <t>13 Auswärtige Verpflegung</t>
  </si>
  <si>
    <t>Jahr</t>
  </si>
  <si>
    <t>Einnahmen</t>
  </si>
  <si>
    <t>Aktiven</t>
  </si>
  <si>
    <t>Passiven</t>
  </si>
  <si>
    <t>Unterschrift</t>
  </si>
  <si>
    <t>01 Material, Waren, Fremdleistungen</t>
  </si>
  <si>
    <t>02 AHV/IV/EO-Beiträge (1. Säule)</t>
  </si>
  <si>
    <t>03 BVG/Pensionskassen (2. Säule)</t>
  </si>
  <si>
    <t>04 Übrige Sozialvers. (Unfall, Krankentaggeld)</t>
  </si>
  <si>
    <t>05 Miete Büro/Arbeitszimmer</t>
  </si>
  <si>
    <t>06 Unterhalt und Reparaturen</t>
  </si>
  <si>
    <t>07 Fahrzeug- und Transportaufwand</t>
  </si>
  <si>
    <t>08 Repräsentation</t>
  </si>
  <si>
    <t>09 Büromaterial, IT, Telefon</t>
  </si>
  <si>
    <t>Total Ausgaben</t>
  </si>
  <si>
    <t>Total Aktiven</t>
  </si>
  <si>
    <t>Total Passiven</t>
  </si>
  <si>
    <t>14 Spenden</t>
  </si>
  <si>
    <t>Firmen dürfen bis zu 20 Prozent des Reingewinns als freiwillige Zuwendung an gemeinnützige Organisationen abziehen. Das gilt für Geldspenden und andere Vermögenswerte.</t>
  </si>
  <si>
    <t>15 Übrige Geschäftsaufwände</t>
  </si>
  <si>
    <t>12 Weiterbildung/Fachliteratur</t>
  </si>
  <si>
    <t>Total Einnahmen</t>
  </si>
  <si>
    <t>Ausgabenkategorien</t>
  </si>
  <si>
    <t>Die persönlichen AHV/IV/EO-Beiträge.</t>
  </si>
  <si>
    <t>Die meisten Selbständigen haben keine 2. Säule, da sie für Einzelunternehmen frewillig ist. Wenn man aber eine hat, so werden 50% der tatsächlich bezahlten Beträge im Unternehmen und 50% als Privatperson angegeben.</t>
  </si>
  <si>
    <t>Da man als kleine Einzelunternehmung kaum grossen Maschinen oder Gebäude hat, betreffen Unternhalt und Reparatur meistens nur das Auto.</t>
  </si>
  <si>
    <t>Ausgaben für das Auto und Treibstoff. Für Reisespesen wie Flug- oder Zugtickets sollte der genaue Zweck der Reise angegeben werden (z.B. welcher Kunde warum besucht wurde).</t>
  </si>
  <si>
    <t>Ausgaben für Kundengeschenke oder Geschäftsessen mit potenziellen Kunden oder Geschäftspartnern. Da diese Kategorie gerne für Steueroptimierungen ausgenutzt wird, sollte hier z.B. bei einer Restaurant-Quittung genau aufgeschrieben, mit wem und zu welchem Zweck das Geschäftsessen war.
Wichtig: Quittung aufbewahren. Keine Buchung ohne Beleg.</t>
  </si>
  <si>
    <t>Als Faustregel gilt, dass Beträge bis CHF 1'000.- ganz normal als Ausgaben erfasst werden können. Grössere Ausgaben (z.B. ein Laptop) müssen abgeschrieben werden. Das heisst, über 2 oder mehr Jahre wird je ein Teil des gesamten Betrages als Ausgabe erfasst.</t>
  </si>
  <si>
    <t>Die Kontogebühren des Geschäftskontos.</t>
  </si>
  <si>
    <t>Kurse, Tagungen, Seminare, Fachbücher, etc.</t>
  </si>
  <si>
    <t>Alles Übrige. Hier sollten nicht allzu viele Ausgaben anfallen.</t>
  </si>
  <si>
    <t>Wer Zuhause arbeitet, kann einen Teil der privaten Miete abziehen. Die Berechnung dieses Anteiles unterscheidet sich von Kanton zu Kanton.</t>
  </si>
  <si>
    <t>Buchhaltung</t>
  </si>
  <si>
    <t>16 --</t>
  </si>
  <si>
    <t>17 --</t>
  </si>
  <si>
    <t>Download: https://github.com/marcojakob/milchbuechli</t>
  </si>
  <si>
    <t>Firma</t>
  </si>
  <si>
    <t>In der Einzelunternehmung dürfen Krankenkasse und private Versicherungen nicht als Ausgabe erfasst werden. Diese werden als Privatperson angegeben.</t>
  </si>
  <si>
    <t>Lizenz: Creative Commons Attribution-ShareAlike 4.0 International.</t>
  </si>
  <si>
    <t>Es liegt in der Natur der Sache, dass die Mehrkosten der auswärtigen Verpflegung auch bei Selbständigerwerbenden betragsmässig nicht nachgewiesen werden können. Die Steuerbehörden anerkennen deshalb bei nachgewiesener ganzjähriger auswärtiger Erwerbstätigkeit für die Mehrkosten der auswärtigen Verpflegung dieselbe Pauschale wie bei Unselbständigerwerbenden. 
Man rechnet mit 220 Arbeitstagen pro Jahr. Bei CHF 15 pro Tag würde man auf CHF 3'300 kommen. Das Total von auswärtiger Verpflegung bei selbständiger und unselbständiger Arbeit darf das Maximum von CHF 3'200 nicht überschreiten.
(Quelle: Baselbieter Steuerbuch Band 2 - Unternehmen, 24 Nr. 16, 31.10.2018)</t>
  </si>
  <si>
    <t>Autor: jakobservices.ch</t>
  </si>
  <si>
    <t>Meine Firma</t>
  </si>
  <si>
    <t>Jahresabschluss</t>
  </si>
  <si>
    <t>Bemerkungen</t>
  </si>
  <si>
    <t>Ergebnis</t>
  </si>
  <si>
    <t>Ort und Datum</t>
  </si>
  <si>
    <t>Milchbüechli-Supertool - Version 4.0 - 2022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</si>
</sst>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 &quot;CHF&quot;\ * #,##0.00_ ;_ &quot;CHF&quot;\ * \-#,##0.00_ ;_ &quot;CHF&quot;\ * &quot;-&quot;??_ ;_ @_ "/>
    <numFmt numFmtId="164" formatCode="_ [$CHF-807]\ * #,##0.00_ ;_ [$CHF-807]\ * \-#,##0.00_ ;_ [$CHF-807]\ * &quot;-&quot;??_ ;_ @_ "/>
  </numFmts>
  <fonts count="24"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Arial"/>
      <family val="2"/>
    </font>
    <font>
      <sz val="30"/>
      <color indexed="63"/>
      <name val="Calibri"/>
      <family val="2"/>
      <scheme val="minor"/>
    </font>
    <font>
      <sz val="10"/>
      <color indexed="63"/>
      <name val="Calibri"/>
      <family val="2"/>
      <scheme val="minor"/>
    </font>
    <font>
      <b/>
      <sz val="10"/>
      <color indexed="63"/>
      <name val="Calibri"/>
      <family val="2"/>
      <scheme val="minor"/>
    </font>
    <font>
      <sz val="10"/>
      <name val="Calibri"/>
      <family val="2"/>
      <scheme val="minor"/>
    </font>
    <font>
      <b/>
      <sz val="10"/>
      <color theme="0"/>
      <name val="Calibri"/>
      <family val="1"/>
      <scheme val="minor"/>
    </font>
    <font>
      <b/>
      <sz val="8"/>
      <color theme="0"/>
      <name val="Calibri"/>
      <family val="2"/>
      <scheme val="minor"/>
    </font>
    <font>
      <sz val="11"/>
      <color theme="0"/>
      <name val="Calibri"/>
      <family val="2"/>
      <scheme val="minor"/>
    </font>
    <font>
      <b/>
      <sz val="18"/>
      <color theme="3"/>
      <name val="Cambria"/>
      <family val="2"/>
      <scheme val="major"/>
    </font>
    <font>
      <b/>
      <sz val="11"/>
      <color theme="3"/>
      <name val="Calibri"/>
      <family val="2"/>
      <scheme val="minor"/>
    </font>
    <font>
      <b/>
      <sz val="26"/>
      <color theme="3"/>
      <name val="Cambria"/>
      <family val="2"/>
      <scheme val="major"/>
    </font>
    <font>
      <b/>
      <sz val="11"/>
      <color theme="3"/>
      <name val="Cambria"/>
      <family val="1"/>
      <scheme val="major"/>
    </font>
    <font>
      <sz val="11"/>
      <color rgb="FF000000"/>
      <name val="Calibri"/>
      <family val="2"/>
    </font>
    <font>
      <b/>
      <sz val="10"/>
      <color theme="1"/>
      <name val="Calibri"/>
      <family val="2"/>
      <scheme val="minor"/>
    </font>
    <font>
      <sz val="8"/>
      <name val="Calibri"/>
      <family val="2"/>
      <scheme val="minor"/>
    </font>
    <font>
      <sz val="11"/>
      <color indexed="63"/>
      <name val="Calibri"/>
      <family val="2"/>
      <scheme val="minor"/>
    </font>
    <font>
      <b/>
      <sz val="10"/>
      <color theme="1" tint="0.499984740745262"/>
      <name val="Cambria"/>
      <family val="1"/>
      <scheme val="major"/>
    </font>
    <font>
      <sz val="10"/>
      <color theme="1" tint="0.499984740745262"/>
      <name val="Cambria"/>
      <family val="1"/>
      <scheme val="major"/>
    </font>
    <font>
      <sz val="10"/>
      <color theme="1"/>
      <name val="Calibri"/>
      <family val="2"/>
      <scheme val="minor"/>
    </font>
    <font>
      <b/>
      <sz val="10"/>
      <name val="Calibri"/>
      <family val="2"/>
      <scheme val="minor"/>
    </font>
  </fonts>
  <fills count="18">
    <fill>
      <patternFill patternType="none"/>
    </fill>
    <fill>
      <patternFill patternType="gray125"/>
    </fill>
    <fill>
      <patternFill patternType="solid">
        <fgColor theme="6"/>
      </patternFill>
    </fill>
    <fill>
      <patternFill patternType="solid">
        <fgColor theme="6" tint="0.39994506668294322"/>
        <bgColor indexed="65"/>
      </patternFill>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79998168889431442"/>
        <bgColor indexed="64"/>
      </patternFill>
    </fill>
  </fills>
  <borders count="16">
    <border>
      <left/>
      <right/>
      <top/>
      <bottom/>
      <diagonal/>
    </border>
    <border>
      <left/>
      <right/>
      <top style="medium">
        <color theme="0"/>
      </top>
      <bottom style="medium">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indexed="64"/>
      </left>
      <right style="hair">
        <color indexed="64"/>
      </right>
      <top style="thin">
        <color indexed="64"/>
      </top>
      <bottom style="hair">
        <color indexed="64"/>
      </bottom>
      <diagonal/>
    </border>
    <border>
      <left/>
      <right/>
      <top/>
      <bottom style="thin">
        <color indexed="64"/>
      </bottom>
      <diagonal/>
    </border>
    <border>
      <left/>
      <right/>
      <top style="thin">
        <color indexed="64"/>
      </top>
      <bottom/>
      <diagonal/>
    </border>
  </borders>
  <cellStyleXfs count="14">
    <xf numFmtId="0" fontId="0" fillId="0" borderId="0"/>
    <xf numFmtId="0" fontId="8" fillId="0" borderId="0"/>
    <xf numFmtId="0" fontId="9" fillId="3" borderId="1">
      <alignment horizontal="left" vertical="center"/>
      <protection locked="0" hidden="1"/>
    </xf>
    <xf numFmtId="40" fontId="10" fillId="2" borderId="1">
      <alignment horizontal="centerContinuous" vertical="center"/>
    </xf>
    <xf numFmtId="0" fontId="11" fillId="4" borderId="0" applyNumberFormat="0" applyBorder="0" applyAlignment="0" applyProtection="0"/>
    <xf numFmtId="0" fontId="3" fillId="5" borderId="0" applyNumberFormat="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 fillId="11" borderId="0" applyNumberFormat="0" applyBorder="0" applyAlignment="0" applyProtection="0"/>
    <xf numFmtId="44" fontId="22" fillId="0" borderId="0" applyFont="0" applyFill="0" applyBorder="0" applyAlignment="0" applyProtection="0"/>
  </cellStyleXfs>
  <cellXfs count="82">
    <xf numFmtId="0" fontId="0" fillId="0" borderId="0" xfId="0"/>
    <xf numFmtId="0" fontId="6" fillId="0" borderId="0" xfId="0" applyFont="1" applyAlignment="1">
      <alignment horizontal="left"/>
    </xf>
    <xf numFmtId="0" fontId="5" fillId="0" borderId="0" xfId="0" applyFont="1" applyAlignment="1">
      <alignment horizontal="left" wrapText="1"/>
    </xf>
    <xf numFmtId="0" fontId="6" fillId="0" borderId="0" xfId="0" applyFont="1" applyAlignment="1">
      <alignment horizontal="left" vertical="center"/>
    </xf>
    <xf numFmtId="0" fontId="0" fillId="0" borderId="0" xfId="0" applyAlignment="1">
      <alignment vertical="center"/>
    </xf>
    <xf numFmtId="0" fontId="15" fillId="0" borderId="0" xfId="7" applyFont="1" applyAlignment="1">
      <alignment vertical="center" wrapText="1"/>
    </xf>
    <xf numFmtId="0" fontId="0" fillId="0" borderId="0" xfId="0" applyAlignment="1">
      <alignment wrapText="1"/>
    </xf>
    <xf numFmtId="0" fontId="6" fillId="0" borderId="0" xfId="0" applyFont="1" applyAlignment="1">
      <alignment horizontal="left" vertical="center" wrapText="1"/>
    </xf>
    <xf numFmtId="0" fontId="15" fillId="0" borderId="0" xfId="7" applyFont="1" applyAlignment="1">
      <alignment horizontal="center" vertical="center" wrapText="1"/>
    </xf>
    <xf numFmtId="44" fontId="0" fillId="0" borderId="0" xfId="0" applyNumberFormat="1"/>
    <xf numFmtId="164" fontId="17" fillId="9" borderId="2" xfId="10" applyNumberFormat="1" applyFont="1" applyBorder="1" applyAlignment="1">
      <alignment vertical="center"/>
    </xf>
    <xf numFmtId="164" fontId="17" fillId="8" borderId="2" xfId="9" applyNumberFormat="1" applyFont="1" applyBorder="1" applyAlignment="1">
      <alignment vertical="center"/>
    </xf>
    <xf numFmtId="0" fontId="17" fillId="7" borderId="2" xfId="8" applyFont="1" applyBorder="1" applyAlignment="1">
      <alignment vertical="center"/>
    </xf>
    <xf numFmtId="164" fontId="17" fillId="7" borderId="2" xfId="8" applyNumberFormat="1" applyFont="1" applyBorder="1" applyAlignment="1">
      <alignment vertical="center"/>
    </xf>
    <xf numFmtId="0" fontId="17" fillId="10" borderId="2" xfId="11" applyFont="1" applyBorder="1" applyAlignment="1">
      <alignment horizontal="left" vertical="center" wrapText="1"/>
    </xf>
    <xf numFmtId="44" fontId="17" fillId="10" borderId="2" xfId="11" applyNumberFormat="1" applyFont="1" applyBorder="1" applyAlignment="1">
      <alignment horizontal="left" vertical="center" wrapText="1"/>
    </xf>
    <xf numFmtId="0" fontId="17" fillId="0" borderId="2" xfId="0" applyFont="1" applyBorder="1"/>
    <xf numFmtId="0" fontId="0" fillId="0" borderId="0" xfId="0" applyBorder="1"/>
    <xf numFmtId="44" fontId="0" fillId="0" borderId="0" xfId="0" applyNumberFormat="1" applyBorder="1"/>
    <xf numFmtId="164" fontId="17" fillId="0" borderId="2" xfId="0" applyNumberFormat="1" applyFont="1" applyBorder="1"/>
    <xf numFmtId="44" fontId="17" fillId="0" borderId="2" xfId="0" applyNumberFormat="1" applyFont="1" applyBorder="1"/>
    <xf numFmtId="0" fontId="17" fillId="0" borderId="2" xfId="0" applyFont="1" applyBorder="1" applyAlignment="1">
      <alignment vertical="top"/>
    </xf>
    <xf numFmtId="0" fontId="0" fillId="0" borderId="13" xfId="0" applyBorder="1" applyAlignment="1">
      <alignment vertical="top" wrapText="1"/>
    </xf>
    <xf numFmtId="0" fontId="0" fillId="0" borderId="12" xfId="0" applyBorder="1" applyAlignment="1">
      <alignment vertical="top" wrapText="1"/>
    </xf>
    <xf numFmtId="0" fontId="14" fillId="0" borderId="0" xfId="6" applyFont="1" applyAlignment="1">
      <alignment horizontal="left" vertical="center"/>
    </xf>
    <xf numFmtId="0" fontId="19" fillId="0" borderId="0" xfId="0" applyFont="1" applyAlignment="1">
      <alignment horizontal="right" vertical="center"/>
    </xf>
    <xf numFmtId="0" fontId="13" fillId="0" borderId="0" xfId="0" applyFont="1" applyFill="1" applyBorder="1" applyAlignment="1">
      <alignment horizontal="left" vertical="center"/>
    </xf>
    <xf numFmtId="0" fontId="17" fillId="13" borderId="9" xfId="10" applyFont="1" applyFill="1" applyBorder="1" applyAlignment="1">
      <alignment vertical="center"/>
    </xf>
    <xf numFmtId="0" fontId="17" fillId="13" borderId="10" xfId="10" applyFont="1" applyFill="1" applyBorder="1" applyAlignment="1">
      <alignment vertical="center"/>
    </xf>
    <xf numFmtId="164" fontId="7" fillId="15" borderId="11" xfId="13" applyNumberFormat="1" applyFont="1" applyFill="1" applyBorder="1" applyAlignment="1">
      <alignment horizontal="left" vertical="center"/>
    </xf>
    <xf numFmtId="0" fontId="7" fillId="15" borderId="9" xfId="0" applyFont="1" applyFill="1" applyBorder="1" applyAlignment="1">
      <alignment horizontal="left" vertical="center" wrapText="1"/>
    </xf>
    <xf numFmtId="0" fontId="7" fillId="12" borderId="9" xfId="0" applyFont="1" applyFill="1" applyBorder="1" applyAlignment="1">
      <alignment horizontal="left" vertical="center" wrapText="1"/>
    </xf>
    <xf numFmtId="164" fontId="7" fillId="12" borderId="11" xfId="0" applyNumberFormat="1" applyFont="1" applyFill="1" applyBorder="1" applyAlignment="1">
      <alignment horizontal="left" vertical="center"/>
    </xf>
    <xf numFmtId="0" fontId="6" fillId="0" borderId="3" xfId="0" applyFont="1" applyFill="1" applyBorder="1" applyAlignment="1">
      <alignment horizontal="left" vertical="center" wrapText="1"/>
    </xf>
    <xf numFmtId="164" fontId="6" fillId="0" borderId="4" xfId="13" applyNumberFormat="1" applyFont="1" applyFill="1" applyBorder="1" applyAlignment="1">
      <alignment horizontal="left" vertical="center"/>
    </xf>
    <xf numFmtId="0" fontId="6" fillId="0" borderId="5" xfId="0" applyFont="1" applyFill="1" applyBorder="1" applyAlignment="1">
      <alignment horizontal="left" vertical="center" wrapText="1"/>
    </xf>
    <xf numFmtId="164" fontId="6" fillId="0" borderId="6" xfId="13" applyNumberFormat="1" applyFont="1" applyFill="1" applyBorder="1" applyAlignment="1">
      <alignment horizontal="left" vertical="center"/>
    </xf>
    <xf numFmtId="0" fontId="7" fillId="17" borderId="7" xfId="0" applyFont="1" applyFill="1" applyBorder="1" applyAlignment="1">
      <alignment horizontal="left" vertical="center" wrapText="1"/>
    </xf>
    <xf numFmtId="164" fontId="17" fillId="17" borderId="8" xfId="0" applyNumberFormat="1" applyFont="1" applyFill="1" applyBorder="1" applyAlignment="1">
      <alignment vertical="center"/>
    </xf>
    <xf numFmtId="0" fontId="7" fillId="12" borderId="10" xfId="0" applyFont="1" applyFill="1" applyBorder="1" applyAlignment="1">
      <alignment horizontal="left" vertical="center" wrapText="1"/>
    </xf>
    <xf numFmtId="0" fontId="6" fillId="0" borderId="15" xfId="0" applyFont="1" applyFill="1" applyBorder="1" applyAlignment="1">
      <alignment horizontal="left" vertical="center" wrapText="1"/>
    </xf>
    <xf numFmtId="0" fontId="6" fillId="0" borderId="0" xfId="0" applyFont="1" applyFill="1" applyBorder="1" applyAlignment="1">
      <alignment horizontal="left" vertical="center" wrapText="1"/>
    </xf>
    <xf numFmtId="0" fontId="7" fillId="15" borderId="10" xfId="0" applyFont="1" applyFill="1" applyBorder="1" applyAlignment="1">
      <alignment horizontal="left" vertical="center" wrapText="1"/>
    </xf>
    <xf numFmtId="0" fontId="7" fillId="17" borderId="14" xfId="0" applyFont="1" applyFill="1" applyBorder="1" applyAlignment="1">
      <alignment horizontal="left" vertical="center" wrapText="1"/>
    </xf>
    <xf numFmtId="0" fontId="22" fillId="13" borderId="11" xfId="0" applyFont="1" applyFill="1" applyBorder="1" applyAlignment="1">
      <alignment vertical="center"/>
    </xf>
    <xf numFmtId="0" fontId="17" fillId="14" borderId="9" xfId="10" applyFont="1" applyFill="1" applyBorder="1" applyAlignment="1">
      <alignment vertical="center"/>
    </xf>
    <xf numFmtId="0" fontId="17" fillId="14" borderId="10" xfId="10" applyFont="1" applyFill="1" applyBorder="1" applyAlignment="1">
      <alignment vertical="center"/>
    </xf>
    <xf numFmtId="0" fontId="22" fillId="14" borderId="11" xfId="0" applyFont="1" applyFill="1" applyBorder="1" applyAlignment="1">
      <alignment vertical="center"/>
    </xf>
    <xf numFmtId="0" fontId="7" fillId="16" borderId="9" xfId="0" applyFont="1" applyFill="1" applyBorder="1" applyAlignment="1">
      <alignment horizontal="left" vertical="center" wrapText="1"/>
    </xf>
    <xf numFmtId="0" fontId="7" fillId="16" borderId="10" xfId="0" applyFont="1" applyFill="1" applyBorder="1" applyAlignment="1">
      <alignment horizontal="left" vertical="center" wrapText="1"/>
    </xf>
    <xf numFmtId="0" fontId="0" fillId="16" borderId="11" xfId="0" applyFont="1" applyFill="1" applyBorder="1" applyAlignment="1">
      <alignment vertical="center"/>
    </xf>
    <xf numFmtId="0" fontId="17" fillId="0" borderId="0" xfId="12" applyFont="1" applyFill="1" applyBorder="1"/>
    <xf numFmtId="0" fontId="22" fillId="0" borderId="0" xfId="0" applyFont="1"/>
    <xf numFmtId="0" fontId="23" fillId="0" borderId="0" xfId="4" applyFont="1" applyFill="1" applyBorder="1"/>
    <xf numFmtId="0" fontId="23" fillId="0" borderId="14" xfId="4" applyFont="1" applyFill="1" applyBorder="1"/>
    <xf numFmtId="0" fontId="17" fillId="0" borderId="2" xfId="0" applyFont="1" applyBorder="1" applyAlignment="1">
      <alignment horizontal="left"/>
    </xf>
    <xf numFmtId="0" fontId="0" fillId="0" borderId="0" xfId="0" applyAlignment="1">
      <alignment horizontal="left"/>
    </xf>
    <xf numFmtId="14" fontId="0" fillId="0" borderId="0" xfId="0" applyNumberFormat="1" applyAlignment="1">
      <alignment horizontal="right"/>
    </xf>
    <xf numFmtId="0" fontId="0" fillId="0" borderId="0" xfId="0" applyAlignment="1">
      <alignment horizontal="right"/>
    </xf>
    <xf numFmtId="14" fontId="0" fillId="0" borderId="0" xfId="0" applyNumberFormat="1" applyBorder="1" applyAlignment="1">
      <alignment horizontal="right"/>
    </xf>
    <xf numFmtId="0" fontId="0" fillId="0" borderId="0" xfId="0" applyBorder="1" applyAlignment="1">
      <alignment horizontal="right"/>
    </xf>
    <xf numFmtId="0" fontId="0" fillId="0" borderId="0" xfId="0" applyBorder="1" applyAlignment="1">
      <alignment horizontal="left"/>
    </xf>
    <xf numFmtId="164" fontId="0" fillId="0" borderId="0" xfId="0" applyNumberFormat="1" applyAlignment="1">
      <alignment horizontal="left"/>
    </xf>
    <xf numFmtId="0" fontId="21" fillId="0" borderId="0" xfId="7" applyFont="1" applyAlignment="1">
      <alignment horizontal="left" vertical="center" wrapText="1"/>
    </xf>
    <xf numFmtId="0" fontId="20" fillId="0" borderId="0" xfId="7" applyFont="1" applyAlignment="1">
      <alignment horizontal="left" vertical="center" wrapText="1"/>
    </xf>
    <xf numFmtId="0" fontId="22" fillId="6" borderId="3" xfId="5" applyFont="1" applyFill="1" applyBorder="1" applyAlignment="1" applyProtection="1">
      <alignment vertical="top" wrapText="1"/>
      <protection locked="0"/>
    </xf>
    <xf numFmtId="0" fontId="22" fillId="6" borderId="15" xfId="5" applyFont="1" applyFill="1" applyBorder="1" applyAlignment="1" applyProtection="1">
      <alignment vertical="top" wrapText="1"/>
      <protection locked="0"/>
    </xf>
    <xf numFmtId="0" fontId="22" fillId="6" borderId="4" xfId="5" applyFont="1" applyFill="1" applyBorder="1" applyAlignment="1" applyProtection="1">
      <alignment vertical="top" wrapText="1"/>
      <protection locked="0"/>
    </xf>
    <xf numFmtId="0" fontId="22" fillId="6" borderId="5" xfId="5" applyFont="1" applyFill="1" applyBorder="1" applyAlignment="1" applyProtection="1">
      <alignment vertical="top" wrapText="1"/>
      <protection locked="0"/>
    </xf>
    <xf numFmtId="0" fontId="22" fillId="6" borderId="0" xfId="5" applyFont="1" applyFill="1" applyBorder="1" applyAlignment="1" applyProtection="1">
      <alignment vertical="top" wrapText="1"/>
      <protection locked="0"/>
    </xf>
    <xf numFmtId="0" fontId="22" fillId="6" borderId="6" xfId="5" applyFont="1" applyFill="1" applyBorder="1" applyAlignment="1" applyProtection="1">
      <alignment vertical="top" wrapText="1"/>
      <protection locked="0"/>
    </xf>
    <xf numFmtId="0" fontId="22" fillId="6" borderId="7" xfId="5" applyFont="1" applyFill="1" applyBorder="1" applyAlignment="1" applyProtection="1">
      <alignment vertical="top" wrapText="1"/>
      <protection locked="0"/>
    </xf>
    <xf numFmtId="0" fontId="22" fillId="6" borderId="14" xfId="5" applyFont="1" applyFill="1" applyBorder="1" applyAlignment="1" applyProtection="1">
      <alignment vertical="top" wrapText="1"/>
      <protection locked="0"/>
    </xf>
    <xf numFmtId="0" fontId="22" fillId="6" borderId="8" xfId="5" applyFont="1" applyFill="1" applyBorder="1" applyAlignment="1" applyProtection="1">
      <alignment vertical="top" wrapText="1"/>
      <protection locked="0"/>
    </xf>
    <xf numFmtId="0" fontId="14" fillId="0" borderId="0" xfId="6" applyFont="1" applyAlignment="1">
      <alignment horizontal="center" vertical="center"/>
    </xf>
    <xf numFmtId="0" fontId="15" fillId="0" borderId="0" xfId="7" applyFont="1" applyAlignment="1">
      <alignment horizontal="center" vertical="center" wrapText="1"/>
    </xf>
    <xf numFmtId="0" fontId="17" fillId="9" borderId="9" xfId="10" applyFont="1" applyBorder="1" applyAlignment="1">
      <alignment horizontal="left" vertical="center"/>
    </xf>
    <xf numFmtId="0" fontId="17" fillId="9" borderId="10" xfId="10" applyFont="1" applyBorder="1" applyAlignment="1">
      <alignment horizontal="left" vertical="center"/>
    </xf>
    <xf numFmtId="0" fontId="17" fillId="9" borderId="11" xfId="10" applyFont="1" applyBorder="1" applyAlignment="1">
      <alignment horizontal="left" vertical="center"/>
    </xf>
    <xf numFmtId="0" fontId="17" fillId="8" borderId="9" xfId="9" applyFont="1" applyBorder="1" applyAlignment="1">
      <alignment vertical="center"/>
    </xf>
    <xf numFmtId="0" fontId="17" fillId="8" borderId="10" xfId="9" applyFont="1" applyBorder="1" applyAlignment="1">
      <alignment vertical="center"/>
    </xf>
    <xf numFmtId="0" fontId="17" fillId="8" borderId="11" xfId="9" applyFont="1" applyBorder="1" applyAlignment="1">
      <alignment vertical="center"/>
    </xf>
  </cellXfs>
  <cellStyles count="14">
    <cellStyle name="20 % - Akzent1" xfId="5" builtinId="30"/>
    <cellStyle name="40 % - Akzent1" xfId="8" builtinId="31"/>
    <cellStyle name="40 % - Akzent2" xfId="9" builtinId="35"/>
    <cellStyle name="40 % - Akzent3" xfId="10" builtinId="39"/>
    <cellStyle name="40 % - Akzent6" xfId="11" builtinId="51"/>
    <cellStyle name="60 % - Akzent1" xfId="12" builtinId="32"/>
    <cellStyle name="Akzent1" xfId="4" builtinId="29"/>
    <cellStyle name="Category" xfId="2" xr:uid="{00000000-0005-0000-0000-000006000000}"/>
    <cellStyle name="Month" xfId="3" xr:uid="{00000000-0005-0000-0000-000007000000}"/>
    <cellStyle name="Standard" xfId="0" builtinId="0" customBuiltin="1"/>
    <cellStyle name="Standard 2" xfId="1" xr:uid="{00000000-0005-0000-0000-000009000000}"/>
    <cellStyle name="Überschrift" xfId="6" builtinId="15"/>
    <cellStyle name="Überschrift 4" xfId="7" builtinId="19"/>
    <cellStyle name="Währung" xfId="13" builtinId="4"/>
  </cellStyles>
  <dxfs count="9">
    <dxf>
      <fill>
        <patternFill>
          <bgColor theme="4" tint="0.79998168889431442"/>
        </patternFill>
      </fill>
    </dxf>
    <dxf>
      <font>
        <sz val="9"/>
        <color theme="0"/>
      </font>
      <fill>
        <patternFill>
          <bgColor theme="4"/>
        </patternFill>
      </fill>
      <border diagonalUp="0" diagonalDown="0">
        <left style="thin">
          <color theme="4"/>
        </left>
        <right style="thin">
          <color theme="4"/>
        </right>
        <top style="double">
          <color theme="0"/>
        </top>
        <bottom style="thin">
          <color theme="4"/>
        </bottom>
        <vertical/>
        <horizontal/>
      </border>
    </dxf>
    <dxf>
      <font>
        <sz val="9"/>
        <color theme="0"/>
      </font>
      <fill>
        <patternFill>
          <bgColor theme="4"/>
        </patternFill>
      </fill>
      <border diagonalUp="0" diagonalDown="0">
        <bottom style="thin">
          <color theme="0"/>
        </bottom>
      </border>
    </dxf>
    <dxf>
      <font>
        <sz val="8"/>
      </font>
      <border diagonalUp="0" diagonalDown="0">
        <left style="thin">
          <color theme="4"/>
        </left>
        <right style="thin">
          <color theme="4"/>
        </right>
        <top style="thin">
          <color theme="4"/>
        </top>
        <bottom style="thin">
          <color theme="4"/>
        </bottom>
        <vertical/>
        <horizontal/>
      </border>
    </dxf>
    <dxf>
      <fill>
        <patternFill>
          <bgColor theme="0"/>
        </patternFill>
      </fill>
      <border diagonalUp="0" diagonalDown="0">
        <vertical style="thin">
          <color theme="6" tint="0.59996337778862885"/>
        </vertical>
      </border>
    </dxf>
    <dxf>
      <fill>
        <patternFill>
          <bgColor theme="7" tint="0.79998168889431442"/>
        </patternFill>
      </fill>
      <border diagonalUp="0" diagonalDown="0">
        <vertical style="thin">
          <color theme="6" tint="0.59996337778862885"/>
        </vertical>
      </border>
    </dxf>
    <dxf>
      <font>
        <sz val="8"/>
      </font>
      <fill>
        <patternFill>
          <bgColor theme="7" tint="0.39994506668294322"/>
        </patternFill>
      </fill>
      <border diagonalUp="0" diagonalDown="0">
        <left/>
        <right/>
        <bottom style="medium">
          <color theme="0"/>
        </bottom>
        <vertical style="thin">
          <color theme="0"/>
        </vertical>
      </border>
    </dxf>
    <dxf>
      <font>
        <sz val="10"/>
      </font>
    </dxf>
    <dxf>
      <font>
        <sz val="8"/>
      </font>
    </dxf>
  </dxfs>
  <tableStyles count="2" defaultTableStyle="TableStyleMedium9">
    <tableStyle name="Personal Budget" pivot="0" count="5" xr9:uid="{00000000-0011-0000-FFFF-FFFF00000000}">
      <tableStyleElement type="wholeTable" dxfId="8"/>
      <tableStyleElement type="headerRow" dxfId="7"/>
      <tableStyleElement type="totalRow" dxfId="6"/>
      <tableStyleElement type="firstRowStripe" dxfId="5"/>
      <tableStyleElement type="secondRowStripe" dxfId="4"/>
    </tableStyle>
    <tableStyle name="Table Style 1" pivot="0" count="4" xr9:uid="{00000000-0011-0000-FFFF-FFFF01000000}">
      <tableStyleElement type="wholeTable" dxfId="3"/>
      <tableStyleElement type="headerRow" dxfId="2"/>
      <tableStyleElement type="totalRow" dxfId="1"/>
      <tableStyleElement type="firstRowStripe" dxfId="0"/>
    </tableStyle>
  </tableStyles>
  <colors>
    <indexedColors>
      <rgbColor rgb="FF000000"/>
      <rgbColor rgb="FFFFFFFF"/>
      <rgbColor rgb="FFFF0000"/>
      <rgbColor rgb="FF00FF00"/>
      <rgbColor rgb="FF0000FF"/>
      <rgbColor rgb="FFFFFF00"/>
      <rgbColor rgb="FFFF00FF"/>
      <rgbColor rgb="FF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2914650</xdr:colOff>
          <xdr:row>2</xdr:row>
          <xdr:rowOff>95250</xdr:rowOff>
        </xdr:from>
        <xdr:to>
          <xdr:col>5</xdr:col>
          <xdr:colOff>0</xdr:colOff>
          <xdr:row>4</xdr:row>
          <xdr:rowOff>19050</xdr:rowOff>
        </xdr:to>
        <xdr:sp macro="" textlink="">
          <xdr:nvSpPr>
            <xdr:cNvPr id="5121" name="Schaltfläche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xdr:row>
          <xdr:rowOff>95250</xdr:rowOff>
        </xdr:from>
        <xdr:to>
          <xdr:col>5</xdr:col>
          <xdr:colOff>0</xdr:colOff>
          <xdr:row>4</xdr:row>
          <xdr:rowOff>19050</xdr:rowOff>
        </xdr:to>
        <xdr:sp macro="" textlink="">
          <xdr:nvSpPr>
            <xdr:cNvPr id="6148" name="Schaltfläche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B426B-6AFE-495F-ACB4-F532AE46EFF5}">
  <sheetPr codeName="Tabelle6">
    <pageSetUpPr autoPageBreaks="0"/>
  </sheetPr>
  <dimension ref="A1:C28"/>
  <sheetViews>
    <sheetView showGridLines="0" tabSelected="1" zoomScaleNormal="100" workbookViewId="0">
      <selection activeCell="C3" sqref="C3"/>
    </sheetView>
  </sheetViews>
  <sheetFormatPr baseColWidth="10" defaultColWidth="9.28515625" defaultRowHeight="12.75" x14ac:dyDescent="0.2"/>
  <cols>
    <col min="1" max="1" width="1.7109375" customWidth="1"/>
    <col min="2" max="2" width="32.42578125" customWidth="1"/>
    <col min="3" max="3" width="67.7109375" customWidth="1"/>
  </cols>
  <sheetData>
    <row r="1" spans="1:3" ht="8.1" customHeight="1" x14ac:dyDescent="0.6">
      <c r="A1" s="1"/>
      <c r="B1" s="2"/>
      <c r="C1" s="2"/>
    </row>
    <row r="2" spans="1:3" ht="37.5" customHeight="1" x14ac:dyDescent="0.2">
      <c r="A2" s="1"/>
      <c r="C2" s="24" t="s">
        <v>45</v>
      </c>
    </row>
    <row r="3" spans="1:3" ht="15.75" customHeight="1" x14ac:dyDescent="0.2">
      <c r="A3" s="1"/>
      <c r="B3" s="25" t="s">
        <v>49</v>
      </c>
      <c r="C3" s="26" t="s">
        <v>54</v>
      </c>
    </row>
    <row r="4" spans="1:3" ht="15.75" customHeight="1" x14ac:dyDescent="0.2">
      <c r="A4" s="1"/>
      <c r="B4" s="25" t="s">
        <v>12</v>
      </c>
      <c r="C4" s="26">
        <v>2022</v>
      </c>
    </row>
    <row r="5" spans="1:3" ht="15.75" customHeight="1" x14ac:dyDescent="0.2"/>
    <row r="6" spans="1:3" ht="15.95" customHeight="1" x14ac:dyDescent="0.2">
      <c r="A6" s="3"/>
      <c r="B6" s="21" t="s">
        <v>34</v>
      </c>
      <c r="C6" s="21" t="s">
        <v>3</v>
      </c>
    </row>
    <row r="7" spans="1:3" ht="38.25" x14ac:dyDescent="0.2">
      <c r="A7" s="3"/>
      <c r="B7" s="22" t="s">
        <v>17</v>
      </c>
      <c r="C7" s="22" t="s">
        <v>8</v>
      </c>
    </row>
    <row r="8" spans="1:3" x14ac:dyDescent="0.2">
      <c r="A8" s="3"/>
      <c r="B8" s="23" t="s">
        <v>18</v>
      </c>
      <c r="C8" s="23" t="s">
        <v>35</v>
      </c>
    </row>
    <row r="9" spans="1:3" ht="38.25" x14ac:dyDescent="0.2">
      <c r="A9" s="3"/>
      <c r="B9" s="23" t="s">
        <v>19</v>
      </c>
      <c r="C9" s="23" t="s">
        <v>36</v>
      </c>
    </row>
    <row r="10" spans="1:3" ht="25.5" x14ac:dyDescent="0.2">
      <c r="A10" s="3"/>
      <c r="B10" s="23" t="s">
        <v>20</v>
      </c>
      <c r="C10" s="23" t="s">
        <v>50</v>
      </c>
    </row>
    <row r="11" spans="1:3" ht="25.5" x14ac:dyDescent="0.2">
      <c r="A11" s="3"/>
      <c r="B11" s="23" t="s">
        <v>21</v>
      </c>
      <c r="C11" s="23" t="s">
        <v>44</v>
      </c>
    </row>
    <row r="12" spans="1:3" ht="25.5" x14ac:dyDescent="0.2">
      <c r="B12" s="23" t="s">
        <v>22</v>
      </c>
      <c r="C12" s="23" t="s">
        <v>37</v>
      </c>
    </row>
    <row r="13" spans="1:3" ht="38.25" x14ac:dyDescent="0.2">
      <c r="B13" s="23" t="s">
        <v>23</v>
      </c>
      <c r="C13" s="23" t="s">
        <v>38</v>
      </c>
    </row>
    <row r="14" spans="1:3" ht="63.75" x14ac:dyDescent="0.2">
      <c r="B14" s="23" t="s">
        <v>24</v>
      </c>
      <c r="C14" s="23" t="s">
        <v>39</v>
      </c>
    </row>
    <row r="15" spans="1:3" ht="51" x14ac:dyDescent="0.2">
      <c r="B15" s="23" t="s">
        <v>25</v>
      </c>
      <c r="C15" s="23" t="s">
        <v>40</v>
      </c>
    </row>
    <row r="16" spans="1:3" x14ac:dyDescent="0.2">
      <c r="A16" s="3"/>
      <c r="B16" s="23" t="s">
        <v>9</v>
      </c>
      <c r="C16" s="23" t="s">
        <v>41</v>
      </c>
    </row>
    <row r="17" spans="2:3" x14ac:dyDescent="0.2">
      <c r="B17" s="23" t="s">
        <v>10</v>
      </c>
      <c r="C17" s="23" t="s">
        <v>7</v>
      </c>
    </row>
    <row r="18" spans="2:3" x14ac:dyDescent="0.2">
      <c r="B18" s="23" t="s">
        <v>32</v>
      </c>
      <c r="C18" s="23" t="s">
        <v>42</v>
      </c>
    </row>
    <row r="19" spans="2:3" ht="114.75" x14ac:dyDescent="0.2">
      <c r="B19" s="23" t="s">
        <v>11</v>
      </c>
      <c r="C19" s="23" t="s">
        <v>52</v>
      </c>
    </row>
    <row r="20" spans="2:3" ht="38.25" x14ac:dyDescent="0.2">
      <c r="B20" s="23" t="s">
        <v>29</v>
      </c>
      <c r="C20" s="23" t="s">
        <v>30</v>
      </c>
    </row>
    <row r="21" spans="2:3" x14ac:dyDescent="0.2">
      <c r="B21" s="23" t="s">
        <v>31</v>
      </c>
      <c r="C21" s="23" t="s">
        <v>43</v>
      </c>
    </row>
    <row r="22" spans="2:3" x14ac:dyDescent="0.2">
      <c r="B22" s="23" t="s">
        <v>46</v>
      </c>
      <c r="C22" s="23"/>
    </row>
    <row r="23" spans="2:3" x14ac:dyDescent="0.2">
      <c r="B23" s="23" t="s">
        <v>47</v>
      </c>
      <c r="C23" s="23"/>
    </row>
    <row r="24" spans="2:3" x14ac:dyDescent="0.2">
      <c r="B24" s="6"/>
      <c r="C24" s="6"/>
    </row>
    <row r="25" spans="2:3" x14ac:dyDescent="0.2">
      <c r="B25" s="64" t="s">
        <v>59</v>
      </c>
      <c r="C25" s="64"/>
    </row>
    <row r="26" spans="2:3" x14ac:dyDescent="0.2">
      <c r="B26" s="63" t="s">
        <v>53</v>
      </c>
      <c r="C26" s="63"/>
    </row>
    <row r="27" spans="2:3" x14ac:dyDescent="0.2">
      <c r="B27" s="63" t="s">
        <v>51</v>
      </c>
      <c r="C27" s="63"/>
    </row>
    <row r="28" spans="2:3" x14ac:dyDescent="0.2">
      <c r="B28" s="63" t="s">
        <v>48</v>
      </c>
      <c r="C28" s="63"/>
    </row>
  </sheetData>
  <mergeCells count="4">
    <mergeCell ref="B28:C28"/>
    <mergeCell ref="B26:C26"/>
    <mergeCell ref="B27:C27"/>
    <mergeCell ref="B25:C25"/>
  </mergeCells>
  <phoneticPr fontId="18" type="noConversion"/>
  <pageMargins left="0.39370078740157483" right="0.39370078740157483" top="0.59055118110236227" bottom="0.59055118110236227" header="0.31496062992125984" footer="0.31496062992125984"/>
  <pageSetup paperSize="9" orientation="portrait" horizontalDpi="4294967292"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pageSetUpPr autoPageBreaks="0"/>
  </sheetPr>
  <dimension ref="A1:D46"/>
  <sheetViews>
    <sheetView showGridLines="0" zoomScaleNormal="100" zoomScaleSheetLayoutView="100" zoomScalePageLayoutView="40" workbookViewId="0">
      <selection activeCell="B11" sqref="B11"/>
    </sheetView>
  </sheetViews>
  <sheetFormatPr baseColWidth="10" defaultColWidth="9.28515625" defaultRowHeight="12.75" x14ac:dyDescent="0.2"/>
  <cols>
    <col min="1" max="1" width="4.28515625" customWidth="1"/>
    <col min="2" max="2" width="48.5703125" customWidth="1"/>
    <col min="3" max="3" width="28.5703125" customWidth="1"/>
    <col min="4" max="4" width="17.140625" customWidth="1"/>
  </cols>
  <sheetData>
    <row r="1" spans="1:4" ht="8.1" customHeight="1" x14ac:dyDescent="0.6">
      <c r="A1" s="1"/>
      <c r="B1" s="2"/>
      <c r="C1" s="2"/>
    </row>
    <row r="2" spans="1:4" ht="37.5" customHeight="1" x14ac:dyDescent="0.2">
      <c r="A2" s="1"/>
      <c r="B2" s="74" t="s">
        <v>55</v>
      </c>
      <c r="C2" s="74"/>
      <c r="D2" s="74"/>
    </row>
    <row r="3" spans="1:4" ht="15.75" customHeight="1" x14ac:dyDescent="0.2">
      <c r="A3" s="1"/>
      <c r="B3" s="75" t="str">
        <f>Kategorien!C3</f>
        <v>Meine Firma</v>
      </c>
      <c r="C3" s="75"/>
      <c r="D3" s="75"/>
    </row>
    <row r="4" spans="1:4" ht="15.75" customHeight="1" x14ac:dyDescent="0.2">
      <c r="A4" s="1"/>
      <c r="B4" s="75">
        <f>Kategorien!C4</f>
        <v>2022</v>
      </c>
      <c r="C4" s="75"/>
      <c r="D4" s="75"/>
    </row>
    <row r="5" spans="1:4" ht="15.75" customHeight="1" x14ac:dyDescent="0.2">
      <c r="A5" s="3"/>
      <c r="B5" s="7"/>
      <c r="C5" s="7"/>
    </row>
    <row r="6" spans="1:4" ht="15.75" customHeight="1" x14ac:dyDescent="0.2">
      <c r="A6" s="3"/>
      <c r="B6" s="27" t="s">
        <v>13</v>
      </c>
      <c r="C6" s="28"/>
      <c r="D6" s="44"/>
    </row>
    <row r="7" spans="1:4" ht="15.75" customHeight="1" x14ac:dyDescent="0.2">
      <c r="A7" s="3"/>
      <c r="B7" s="31" t="s">
        <v>33</v>
      </c>
      <c r="C7" s="39"/>
      <c r="D7" s="32">
        <f>Einnahmen!E6</f>
        <v>0</v>
      </c>
    </row>
    <row r="8" spans="1:4" ht="15.75" customHeight="1" x14ac:dyDescent="0.2">
      <c r="A8" s="3"/>
      <c r="B8" s="7"/>
      <c r="C8" s="7"/>
      <c r="D8" s="4"/>
    </row>
    <row r="9" spans="1:4" ht="15.75" customHeight="1" x14ac:dyDescent="0.2">
      <c r="A9" s="3"/>
      <c r="B9" s="45" t="s">
        <v>0</v>
      </c>
      <c r="C9" s="46"/>
      <c r="D9" s="47"/>
    </row>
    <row r="10" spans="1:4" ht="15.75" customHeight="1" x14ac:dyDescent="0.2">
      <c r="A10" s="3"/>
      <c r="B10" s="33" t="str">
        <f>Kategorien!B7</f>
        <v>01 Material, Waren, Fremdleistungen</v>
      </c>
      <c r="C10" s="40"/>
      <c r="D10" s="34">
        <f>SUMIF(Ausgaben!D$9:D$1008,B10,Ausgaben!E$9:E$1008)</f>
        <v>0</v>
      </c>
    </row>
    <row r="11" spans="1:4" ht="15.75" customHeight="1" x14ac:dyDescent="0.2">
      <c r="A11" s="3"/>
      <c r="B11" s="35" t="str">
        <f>Kategorien!B8</f>
        <v>02 AHV/IV/EO-Beiträge (1. Säule)</v>
      </c>
      <c r="C11" s="41"/>
      <c r="D11" s="36">
        <f>SUMIF(Ausgaben!D$9:D$1008,B11,Ausgaben!E$9:E$1008)</f>
        <v>0</v>
      </c>
    </row>
    <row r="12" spans="1:4" ht="15.75" customHeight="1" x14ac:dyDescent="0.2">
      <c r="A12" s="3"/>
      <c r="B12" s="35" t="str">
        <f>Kategorien!B9</f>
        <v>03 BVG/Pensionskassen (2. Säule)</v>
      </c>
      <c r="C12" s="41"/>
      <c r="D12" s="36">
        <f>SUMIF(Ausgaben!D$9:D$1008,B12,Ausgaben!E$9:E$1008)</f>
        <v>0</v>
      </c>
    </row>
    <row r="13" spans="1:4" ht="15.75" customHeight="1" x14ac:dyDescent="0.2">
      <c r="A13" s="3"/>
      <c r="B13" s="35" t="str">
        <f>Kategorien!B10</f>
        <v>04 Übrige Sozialvers. (Unfall, Krankentaggeld)</v>
      </c>
      <c r="C13" s="41"/>
      <c r="D13" s="36">
        <f>SUMIF(Ausgaben!D$9:D$1008,B13,Ausgaben!E$9:E$1008)</f>
        <v>0</v>
      </c>
    </row>
    <row r="14" spans="1:4" ht="15.75" customHeight="1" x14ac:dyDescent="0.2">
      <c r="A14" s="3"/>
      <c r="B14" s="35" t="str">
        <f>Kategorien!B11</f>
        <v>05 Miete Büro/Arbeitszimmer</v>
      </c>
      <c r="C14" s="41"/>
      <c r="D14" s="36">
        <f>SUMIF(Ausgaben!D$9:D$1008,B14,Ausgaben!E$9:E$1008)</f>
        <v>0</v>
      </c>
    </row>
    <row r="15" spans="1:4" ht="15.75" customHeight="1" x14ac:dyDescent="0.2">
      <c r="A15" s="3"/>
      <c r="B15" s="35" t="str">
        <f>Kategorien!B12</f>
        <v>06 Unterhalt und Reparaturen</v>
      </c>
      <c r="C15" s="41"/>
      <c r="D15" s="36">
        <f>SUMIF(Ausgaben!D$9:D$1008,B15,Ausgaben!E$9:E$1008)</f>
        <v>0</v>
      </c>
    </row>
    <row r="16" spans="1:4" ht="15.75" customHeight="1" x14ac:dyDescent="0.2">
      <c r="A16" s="3"/>
      <c r="B16" s="35" t="str">
        <f>Kategorien!B13</f>
        <v>07 Fahrzeug- und Transportaufwand</v>
      </c>
      <c r="C16" s="41"/>
      <c r="D16" s="36">
        <f>SUMIF(Ausgaben!D$9:D$1008,B16,Ausgaben!E$9:E$1008)</f>
        <v>0</v>
      </c>
    </row>
    <row r="17" spans="1:4" ht="15.75" customHeight="1" x14ac:dyDescent="0.2">
      <c r="A17" s="3"/>
      <c r="B17" s="35" t="str">
        <f>Kategorien!B14</f>
        <v>08 Repräsentation</v>
      </c>
      <c r="C17" s="41"/>
      <c r="D17" s="36">
        <f>SUMIF(Ausgaben!D$9:D$1008,B17,Ausgaben!E$9:E$1008)</f>
        <v>0</v>
      </c>
    </row>
    <row r="18" spans="1:4" ht="15.75" customHeight="1" x14ac:dyDescent="0.2">
      <c r="A18" s="3"/>
      <c r="B18" s="35" t="str">
        <f>Kategorien!B15</f>
        <v>09 Büromaterial, IT, Telefon</v>
      </c>
      <c r="C18" s="41"/>
      <c r="D18" s="36">
        <f>SUMIF(Ausgaben!D$9:D$1008,B18,Ausgaben!E$9:E$1008)</f>
        <v>0</v>
      </c>
    </row>
    <row r="19" spans="1:4" ht="15.75" customHeight="1" x14ac:dyDescent="0.2">
      <c r="A19" s="3"/>
      <c r="B19" s="35" t="str">
        <f>Kategorien!B16</f>
        <v>10 Bankspesen</v>
      </c>
      <c r="C19" s="41"/>
      <c r="D19" s="36">
        <f>SUMIF(Ausgaben!D$9:D$1008,B19,Ausgaben!E$9:E$1008)</f>
        <v>0</v>
      </c>
    </row>
    <row r="20" spans="1:4" ht="15.75" customHeight="1" x14ac:dyDescent="0.2">
      <c r="A20" s="3"/>
      <c r="B20" s="35" t="str">
        <f>Kategorien!B17</f>
        <v>11 Werbung/Marketing</v>
      </c>
      <c r="C20" s="41"/>
      <c r="D20" s="36">
        <f>SUMIF(Ausgaben!D$9:D$1008,B20,Ausgaben!E$9:E$1008)</f>
        <v>0</v>
      </c>
    </row>
    <row r="21" spans="1:4" ht="15.75" customHeight="1" x14ac:dyDescent="0.2">
      <c r="A21" s="3"/>
      <c r="B21" s="35" t="str">
        <f>Kategorien!B18</f>
        <v>12 Weiterbildung/Fachliteratur</v>
      </c>
      <c r="C21" s="41"/>
      <c r="D21" s="36">
        <f>SUMIF(Ausgaben!D$9:D$1008,B21,Ausgaben!E$9:E$1008)</f>
        <v>0</v>
      </c>
    </row>
    <row r="22" spans="1:4" ht="15.75" customHeight="1" x14ac:dyDescent="0.2">
      <c r="A22" s="3"/>
      <c r="B22" s="35" t="str">
        <f>Kategorien!B19</f>
        <v>13 Auswärtige Verpflegung</v>
      </c>
      <c r="C22" s="41"/>
      <c r="D22" s="36">
        <f>SUMIF(Ausgaben!D$9:D$1008,B22,Ausgaben!E$9:E$1008)</f>
        <v>0</v>
      </c>
    </row>
    <row r="23" spans="1:4" ht="15.75" customHeight="1" x14ac:dyDescent="0.2">
      <c r="A23" s="3"/>
      <c r="B23" s="35" t="str">
        <f>Kategorien!B20</f>
        <v>14 Spenden</v>
      </c>
      <c r="C23" s="41"/>
      <c r="D23" s="36">
        <f>SUMIF(Ausgaben!D$9:D$1008,B23,Ausgaben!E$9:E$1008)</f>
        <v>0</v>
      </c>
    </row>
    <row r="24" spans="1:4" ht="15.75" customHeight="1" x14ac:dyDescent="0.2">
      <c r="A24" s="3"/>
      <c r="B24" s="35" t="str">
        <f>Kategorien!B21</f>
        <v>15 Übrige Geschäftsaufwände</v>
      </c>
      <c r="C24" s="41"/>
      <c r="D24" s="36">
        <f>SUMIF(Ausgaben!D$9:D$1008,B24,Ausgaben!E$9:E$1008)</f>
        <v>0</v>
      </c>
    </row>
    <row r="25" spans="1:4" ht="15.75" customHeight="1" x14ac:dyDescent="0.2">
      <c r="A25" s="3"/>
      <c r="B25" s="35" t="str">
        <f>Kategorien!B22</f>
        <v>16 --</v>
      </c>
      <c r="C25" s="41"/>
      <c r="D25" s="36">
        <f>SUMIF(Ausgaben!D$9:D$1008,B25,Ausgaben!E$9:E$1008)</f>
        <v>0</v>
      </c>
    </row>
    <row r="26" spans="1:4" ht="15.75" customHeight="1" x14ac:dyDescent="0.2">
      <c r="A26" s="3"/>
      <c r="B26" s="35" t="str">
        <f>Kategorien!B23</f>
        <v>17 --</v>
      </c>
      <c r="C26" s="41"/>
      <c r="D26" s="36">
        <f>SUMIF(Ausgaben!D$9:D$1008,B26,Ausgaben!E$9:E$1008)</f>
        <v>0</v>
      </c>
    </row>
    <row r="27" spans="1:4" ht="15.75" customHeight="1" x14ac:dyDescent="0.2">
      <c r="A27" s="3"/>
      <c r="B27" s="30" t="s">
        <v>26</v>
      </c>
      <c r="C27" s="42"/>
      <c r="D27" s="29">
        <f>SUM(D10:D26)</f>
        <v>0</v>
      </c>
    </row>
    <row r="28" spans="1:4" ht="15.75" customHeight="1" x14ac:dyDescent="0.2">
      <c r="A28" s="3"/>
      <c r="B28" s="7"/>
      <c r="C28" s="7"/>
      <c r="D28" s="4"/>
    </row>
    <row r="29" spans="1:4" ht="15.75" customHeight="1" x14ac:dyDescent="0.2">
      <c r="A29" s="3"/>
      <c r="B29" s="48" t="s">
        <v>57</v>
      </c>
      <c r="C29" s="49"/>
      <c r="D29" s="50"/>
    </row>
    <row r="30" spans="1:4" ht="15.75" customHeight="1" x14ac:dyDescent="0.2">
      <c r="A30" s="3"/>
      <c r="B30" s="37" t="str">
        <f>IF(D30&lt;0,"Verlust","Gewinn")</f>
        <v>Gewinn</v>
      </c>
      <c r="C30" s="43"/>
      <c r="D30" s="38">
        <f>D7-D27</f>
        <v>0</v>
      </c>
    </row>
    <row r="31" spans="1:4" ht="15.75" customHeight="1" x14ac:dyDescent="0.2">
      <c r="A31" s="3"/>
      <c r="B31" s="7"/>
      <c r="C31" s="7"/>
      <c r="D31" s="4"/>
    </row>
    <row r="32" spans="1:4" ht="15.75" customHeight="1" x14ac:dyDescent="0.2">
      <c r="A32" s="3"/>
      <c r="B32" s="7"/>
      <c r="C32" s="7"/>
      <c r="D32" s="4"/>
    </row>
    <row r="33" spans="1:4" ht="15.75" customHeight="1" x14ac:dyDescent="0.2">
      <c r="A33" s="3"/>
      <c r="B33" s="51" t="s">
        <v>56</v>
      </c>
      <c r="C33" s="51"/>
      <c r="D33" s="52"/>
    </row>
    <row r="34" spans="1:4" ht="15.75" customHeight="1" x14ac:dyDescent="0.2">
      <c r="A34" s="3"/>
      <c r="B34" s="65"/>
      <c r="C34" s="66"/>
      <c r="D34" s="67"/>
    </row>
    <row r="35" spans="1:4" ht="15.75" customHeight="1" x14ac:dyDescent="0.2">
      <c r="A35" s="3"/>
      <c r="B35" s="68"/>
      <c r="C35" s="69"/>
      <c r="D35" s="70"/>
    </row>
    <row r="36" spans="1:4" ht="15.75" customHeight="1" x14ac:dyDescent="0.2">
      <c r="A36" s="3"/>
      <c r="B36" s="68"/>
      <c r="C36" s="69"/>
      <c r="D36" s="70"/>
    </row>
    <row r="37" spans="1:4" ht="15.75" customHeight="1" x14ac:dyDescent="0.2">
      <c r="A37" s="3"/>
      <c r="B37" s="68"/>
      <c r="C37" s="69"/>
      <c r="D37" s="70"/>
    </row>
    <row r="38" spans="1:4" ht="15.75" customHeight="1" x14ac:dyDescent="0.2">
      <c r="A38" s="3"/>
      <c r="B38" s="68"/>
      <c r="C38" s="69"/>
      <c r="D38" s="70"/>
    </row>
    <row r="39" spans="1:4" ht="15.75" customHeight="1" x14ac:dyDescent="0.2">
      <c r="A39" s="3"/>
      <c r="B39" s="68"/>
      <c r="C39" s="69"/>
      <c r="D39" s="70"/>
    </row>
    <row r="40" spans="1:4" ht="15.75" customHeight="1" x14ac:dyDescent="0.2">
      <c r="A40" s="3"/>
      <c r="B40" s="71"/>
      <c r="C40" s="72"/>
      <c r="D40" s="73"/>
    </row>
    <row r="41" spans="1:4" ht="15.75" customHeight="1" x14ac:dyDescent="0.2">
      <c r="A41" s="3"/>
      <c r="B41" s="53"/>
      <c r="C41" s="53"/>
      <c r="D41" s="53"/>
    </row>
    <row r="42" spans="1:4" ht="15.75" customHeight="1" x14ac:dyDescent="0.2">
      <c r="A42" s="3"/>
      <c r="B42" s="53"/>
      <c r="C42" s="53"/>
      <c r="D42" s="53"/>
    </row>
    <row r="43" spans="1:4" ht="15.75" customHeight="1" x14ac:dyDescent="0.2">
      <c r="A43" s="3"/>
      <c r="B43" s="53"/>
      <c r="C43" s="53"/>
      <c r="D43" s="53"/>
    </row>
    <row r="44" spans="1:4" ht="15.75" customHeight="1" x14ac:dyDescent="0.2">
      <c r="A44" s="3"/>
      <c r="B44" s="54"/>
      <c r="C44" s="54"/>
      <c r="D44" s="54"/>
    </row>
    <row r="45" spans="1:4" ht="15.75" customHeight="1" x14ac:dyDescent="0.2">
      <c r="A45" s="3"/>
      <c r="B45" s="53" t="s">
        <v>58</v>
      </c>
      <c r="C45" s="53" t="s">
        <v>16</v>
      </c>
      <c r="D45" s="52"/>
    </row>
    <row r="46" spans="1:4" x14ac:dyDescent="0.2">
      <c r="B46" s="52"/>
      <c r="C46" s="52"/>
      <c r="D46" s="52"/>
    </row>
  </sheetData>
  <mergeCells count="4">
    <mergeCell ref="B34:D40"/>
    <mergeCell ref="B2:D2"/>
    <mergeCell ref="B3:D3"/>
    <mergeCell ref="B4:D4"/>
  </mergeCells>
  <pageMargins left="0.39370078740157483" right="0.39370078740157483" top="0.59055118110236227" bottom="0.59055118110236227" header="0.31496062992125984" footer="0.31496062992125984"/>
  <pageSetup paperSize="9" fitToWidth="0" fitToHeight="0" orientation="portrait" horizontalDpi="4294967292" r:id="rId1"/>
  <headerFooter alignWithMargins="0">
    <oddFooter>&amp;C&amp;A | Seite &amp;P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pageSetUpPr autoPageBreaks="0"/>
  </sheetPr>
  <dimension ref="A1:J12"/>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14.85546875" style="58" customWidth="1"/>
    <col min="3" max="3" width="14.5703125" style="58" customWidth="1"/>
    <col min="4" max="4" width="55.7109375" style="56" customWidth="1"/>
    <col min="5" max="5" width="14.140625" style="9" customWidth="1"/>
  </cols>
  <sheetData>
    <row r="1" spans="1:10" ht="8.1" customHeight="1" x14ac:dyDescent="0.6">
      <c r="A1" s="1"/>
      <c r="B1" s="2"/>
      <c r="C1" s="2"/>
      <c r="D1" s="2"/>
      <c r="E1" s="2"/>
    </row>
    <row r="2" spans="1:10" ht="37.5" customHeight="1" x14ac:dyDescent="0.2">
      <c r="A2" s="1"/>
      <c r="B2" s="74" t="s">
        <v>13</v>
      </c>
      <c r="C2" s="74"/>
      <c r="D2" s="74"/>
      <c r="E2" s="74"/>
    </row>
    <row r="3" spans="1:10" ht="15.75" customHeight="1" x14ac:dyDescent="0.2">
      <c r="A3" s="1"/>
      <c r="B3" s="75" t="str">
        <f>Kategorien!C3</f>
        <v>Meine Firma</v>
      </c>
      <c r="C3" s="75"/>
      <c r="D3" s="75"/>
      <c r="E3" s="75"/>
      <c r="F3" s="5"/>
      <c r="G3" s="4"/>
      <c r="H3" s="4"/>
      <c r="I3" s="4"/>
      <c r="J3" s="4"/>
    </row>
    <row r="4" spans="1:10" ht="15.75" customHeight="1" x14ac:dyDescent="0.2">
      <c r="A4" s="1"/>
      <c r="B4" s="75">
        <f>Kategorien!C4</f>
        <v>2022</v>
      </c>
      <c r="C4" s="75"/>
      <c r="D4" s="75"/>
      <c r="E4" s="75"/>
      <c r="F4" s="5"/>
      <c r="G4" s="4"/>
      <c r="H4" s="4"/>
      <c r="I4" s="4"/>
      <c r="J4" s="4"/>
    </row>
    <row r="5" spans="1:10" ht="15.75" customHeight="1" x14ac:dyDescent="0.2">
      <c r="B5"/>
      <c r="C5"/>
      <c r="D5"/>
      <c r="E5"/>
    </row>
    <row r="6" spans="1:10" ht="15.75" customHeight="1" x14ac:dyDescent="0.2">
      <c r="B6" s="76" t="s">
        <v>33</v>
      </c>
      <c r="C6" s="77"/>
      <c r="D6" s="78"/>
      <c r="E6" s="10">
        <f>SUM(E9:E999999)</f>
        <v>0</v>
      </c>
    </row>
    <row r="7" spans="1:10" ht="15.75" customHeight="1" x14ac:dyDescent="0.2">
      <c r="B7"/>
      <c r="C7"/>
      <c r="D7"/>
      <c r="E7"/>
    </row>
    <row r="8" spans="1:10" x14ac:dyDescent="0.2">
      <c r="B8" s="16" t="s">
        <v>4</v>
      </c>
      <c r="C8" s="16" t="s">
        <v>5</v>
      </c>
      <c r="D8" s="55" t="s">
        <v>3</v>
      </c>
      <c r="E8" s="16" t="s">
        <v>2</v>
      </c>
    </row>
    <row r="9" spans="1:10" x14ac:dyDescent="0.2">
      <c r="B9" s="57"/>
      <c r="C9" s="57"/>
    </row>
    <row r="10" spans="1:10" x14ac:dyDescent="0.2">
      <c r="B10" s="57"/>
      <c r="C10" s="57"/>
    </row>
    <row r="11" spans="1:10" x14ac:dyDescent="0.2">
      <c r="B11" s="57"/>
      <c r="C11" s="57"/>
    </row>
    <row r="12" spans="1:10" x14ac:dyDescent="0.2">
      <c r="B12" s="57"/>
    </row>
  </sheetData>
  <autoFilter ref="B8:E8" xr:uid="{00000000-0001-0000-0200-000000000000}"/>
  <mergeCells count="4">
    <mergeCell ref="B2:E2"/>
    <mergeCell ref="B3:E3"/>
    <mergeCell ref="B4:E4"/>
    <mergeCell ref="B6:D6"/>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haltfläche 1">
              <controlPr defaultSize="0" print="0" autoFill="0" autoPict="0" macro="[0]!EinnahmenAusDateinamen">
                <anchor moveWithCells="1" sizeWithCells="1">
                  <from>
                    <xdr:col>3</xdr:col>
                    <xdr:colOff>2914650</xdr:colOff>
                    <xdr:row>2</xdr:row>
                    <xdr:rowOff>95250</xdr:rowOff>
                  </from>
                  <to>
                    <xdr:col>5</xdr:col>
                    <xdr:colOff>0</xdr:colOff>
                    <xdr:row>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autoPageBreaks="0"/>
  </sheetPr>
  <dimension ref="A1:I48"/>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9.85546875" style="58" customWidth="1"/>
    <col min="3" max="3" width="43.7109375" style="56" customWidth="1"/>
    <col min="4" max="4" width="31.28515625" style="56" customWidth="1"/>
    <col min="5" max="5" width="14.42578125" style="9" customWidth="1"/>
  </cols>
  <sheetData>
    <row r="1" spans="1:9" ht="8.1" customHeight="1" x14ac:dyDescent="0.6">
      <c r="A1" s="1"/>
      <c r="B1" s="2"/>
      <c r="C1" s="2"/>
      <c r="D1" s="2"/>
      <c r="E1" s="2"/>
    </row>
    <row r="2" spans="1:9" ht="37.5" customHeight="1" x14ac:dyDescent="0.2">
      <c r="A2" s="1"/>
      <c r="B2" s="74" t="s">
        <v>0</v>
      </c>
      <c r="C2" s="74"/>
      <c r="D2" s="74"/>
      <c r="E2" s="74"/>
    </row>
    <row r="3" spans="1:9" ht="15.75" customHeight="1" x14ac:dyDescent="0.2">
      <c r="A3" s="1"/>
      <c r="B3" s="75" t="str">
        <f>Kategorien!C3</f>
        <v>Meine Firma</v>
      </c>
      <c r="C3" s="75"/>
      <c r="D3" s="75"/>
      <c r="E3" s="75"/>
      <c r="F3" s="5"/>
      <c r="G3" s="4"/>
      <c r="H3" s="4"/>
      <c r="I3" s="4"/>
    </row>
    <row r="4" spans="1:9" ht="15.75" customHeight="1" x14ac:dyDescent="0.2">
      <c r="A4" s="1"/>
      <c r="B4" s="75">
        <f>Kategorien!C4</f>
        <v>2022</v>
      </c>
      <c r="C4" s="75"/>
      <c r="D4" s="75"/>
      <c r="E4" s="75"/>
      <c r="F4" s="5"/>
      <c r="G4" s="4"/>
      <c r="H4" s="4"/>
      <c r="I4" s="4"/>
    </row>
    <row r="5" spans="1:9" ht="15.75" customHeight="1" x14ac:dyDescent="0.2">
      <c r="B5"/>
      <c r="C5"/>
      <c r="D5"/>
      <c r="E5"/>
    </row>
    <row r="6" spans="1:9" ht="15.75" customHeight="1" x14ac:dyDescent="0.2">
      <c r="B6" s="79" t="s">
        <v>26</v>
      </c>
      <c r="C6" s="80"/>
      <c r="D6" s="81"/>
      <c r="E6" s="11">
        <f>SUM(E9:E999999)</f>
        <v>0</v>
      </c>
    </row>
    <row r="7" spans="1:9" ht="15.75" customHeight="1" x14ac:dyDescent="0.2">
      <c r="B7"/>
      <c r="C7"/>
      <c r="D7"/>
      <c r="E7"/>
    </row>
    <row r="8" spans="1:9" x14ac:dyDescent="0.2">
      <c r="B8" s="16" t="s">
        <v>1</v>
      </c>
      <c r="C8" s="16" t="s">
        <v>3</v>
      </c>
      <c r="D8" s="16" t="s">
        <v>6</v>
      </c>
      <c r="E8" s="16" t="s">
        <v>2</v>
      </c>
    </row>
    <row r="9" spans="1:9" x14ac:dyDescent="0.2">
      <c r="A9" s="17"/>
      <c r="B9" s="59"/>
      <c r="C9" s="61"/>
      <c r="D9" s="61"/>
      <c r="E9" s="18"/>
      <c r="F9" s="17"/>
    </row>
    <row r="10" spans="1:9" x14ac:dyDescent="0.2">
      <c r="A10" s="17"/>
      <c r="B10" s="59"/>
      <c r="C10" s="61"/>
      <c r="D10" s="61"/>
      <c r="E10" s="18"/>
      <c r="F10" s="17"/>
    </row>
    <row r="11" spans="1:9" x14ac:dyDescent="0.2">
      <c r="A11" s="17"/>
      <c r="B11" s="59"/>
      <c r="C11" s="61"/>
      <c r="D11" s="61"/>
      <c r="E11" s="18"/>
      <c r="F11" s="17"/>
    </row>
    <row r="12" spans="1:9" x14ac:dyDescent="0.2">
      <c r="A12" s="17"/>
      <c r="B12" s="59"/>
      <c r="C12" s="61"/>
      <c r="D12" s="61"/>
      <c r="E12" s="18"/>
      <c r="F12" s="17"/>
    </row>
    <row r="13" spans="1:9" x14ac:dyDescent="0.2">
      <c r="A13" s="17"/>
      <c r="B13" s="60"/>
      <c r="C13" s="61"/>
      <c r="D13" s="61"/>
      <c r="E13" s="18"/>
      <c r="F13" s="17"/>
    </row>
    <row r="14" spans="1:9" x14ac:dyDescent="0.2">
      <c r="A14" s="17"/>
      <c r="B14" s="60"/>
      <c r="C14" s="61"/>
      <c r="D14" s="61"/>
      <c r="E14" s="18"/>
      <c r="F14" s="17"/>
    </row>
    <row r="15" spans="1:9" x14ac:dyDescent="0.2">
      <c r="A15" s="17"/>
      <c r="B15" s="60"/>
      <c r="C15" s="61"/>
      <c r="D15" s="61"/>
      <c r="E15" s="18"/>
      <c r="F15" s="17"/>
    </row>
    <row r="16" spans="1:9" x14ac:dyDescent="0.2">
      <c r="A16" s="17"/>
      <c r="B16" s="60"/>
      <c r="C16" s="61"/>
      <c r="D16" s="61"/>
      <c r="E16" s="18"/>
      <c r="F16" s="17"/>
    </row>
    <row r="17" spans="1:6" x14ac:dyDescent="0.2">
      <c r="A17" s="17"/>
      <c r="B17" s="60"/>
      <c r="C17" s="61"/>
      <c r="D17" s="61"/>
      <c r="E17" s="18"/>
      <c r="F17" s="17"/>
    </row>
    <row r="18" spans="1:6" x14ac:dyDescent="0.2">
      <c r="A18" s="17"/>
      <c r="B18" s="60"/>
      <c r="C18" s="61"/>
      <c r="D18" s="61"/>
      <c r="E18" s="18"/>
      <c r="F18" s="17"/>
    </row>
    <row r="19" spans="1:6" x14ac:dyDescent="0.2">
      <c r="B19" s="60"/>
      <c r="C19" s="61"/>
      <c r="D19" s="61"/>
      <c r="E19" s="18"/>
    </row>
    <row r="20" spans="1:6" x14ac:dyDescent="0.2">
      <c r="B20" s="60"/>
      <c r="C20" s="61"/>
      <c r="D20" s="61"/>
      <c r="E20" s="18"/>
    </row>
    <row r="21" spans="1:6" x14ac:dyDescent="0.2">
      <c r="B21" s="60"/>
      <c r="C21" s="61"/>
      <c r="D21" s="61"/>
      <c r="E21" s="18"/>
    </row>
    <row r="22" spans="1:6" x14ac:dyDescent="0.2">
      <c r="B22" s="60"/>
      <c r="C22" s="61"/>
      <c r="D22" s="61"/>
      <c r="E22" s="18"/>
    </row>
    <row r="23" spans="1:6" x14ac:dyDescent="0.2">
      <c r="B23" s="60"/>
      <c r="C23" s="61"/>
      <c r="D23" s="61"/>
      <c r="E23" s="18"/>
    </row>
    <row r="24" spans="1:6" x14ac:dyDescent="0.2">
      <c r="B24" s="60"/>
      <c r="C24" s="61"/>
      <c r="D24" s="61"/>
      <c r="E24" s="18"/>
    </row>
    <row r="25" spans="1:6" x14ac:dyDescent="0.2">
      <c r="B25" s="60"/>
      <c r="C25" s="61"/>
      <c r="D25" s="61"/>
      <c r="E25" s="18"/>
    </row>
    <row r="26" spans="1:6" x14ac:dyDescent="0.2">
      <c r="B26" s="60"/>
      <c r="C26" s="61"/>
      <c r="D26" s="61"/>
      <c r="E26" s="18"/>
    </row>
    <row r="27" spans="1:6" x14ac:dyDescent="0.2">
      <c r="B27" s="60"/>
      <c r="C27" s="61"/>
      <c r="D27" s="61"/>
      <c r="E27" s="18"/>
    </row>
    <row r="28" spans="1:6" x14ac:dyDescent="0.2">
      <c r="B28" s="60"/>
      <c r="C28" s="61"/>
      <c r="D28" s="61"/>
      <c r="E28" s="18"/>
    </row>
    <row r="29" spans="1:6" x14ac:dyDescent="0.2">
      <c r="B29" s="60"/>
      <c r="C29" s="61"/>
      <c r="D29" s="61"/>
      <c r="E29" s="18"/>
    </row>
    <row r="30" spans="1:6" x14ac:dyDescent="0.2">
      <c r="B30" s="60"/>
      <c r="C30" s="61"/>
      <c r="D30" s="61"/>
      <c r="E30" s="18"/>
    </row>
    <row r="31" spans="1:6" x14ac:dyDescent="0.2">
      <c r="B31" s="60"/>
      <c r="C31" s="61"/>
      <c r="D31" s="61"/>
      <c r="E31" s="18"/>
    </row>
    <row r="32" spans="1:6" x14ac:dyDescent="0.2">
      <c r="B32" s="60"/>
      <c r="C32" s="61"/>
      <c r="D32" s="61"/>
      <c r="E32" s="18"/>
    </row>
    <row r="33" spans="2:5" x14ac:dyDescent="0.2">
      <c r="B33" s="60"/>
      <c r="C33" s="61"/>
      <c r="D33" s="61"/>
      <c r="E33" s="18"/>
    </row>
    <row r="34" spans="2:5" x14ac:dyDescent="0.2">
      <c r="B34" s="60"/>
      <c r="C34" s="61"/>
      <c r="D34" s="61"/>
      <c r="E34" s="18"/>
    </row>
    <row r="35" spans="2:5" x14ac:dyDescent="0.2">
      <c r="B35" s="60"/>
      <c r="C35" s="61"/>
      <c r="D35" s="61"/>
      <c r="E35" s="18"/>
    </row>
    <row r="36" spans="2:5" x14ac:dyDescent="0.2">
      <c r="B36" s="60"/>
      <c r="C36" s="61"/>
      <c r="D36" s="61"/>
      <c r="E36" s="18"/>
    </row>
    <row r="37" spans="2:5" x14ac:dyDescent="0.2">
      <c r="B37" s="60"/>
      <c r="C37" s="61"/>
      <c r="D37" s="61"/>
      <c r="E37" s="18"/>
    </row>
    <row r="38" spans="2:5" x14ac:dyDescent="0.2">
      <c r="B38" s="60"/>
      <c r="C38" s="61"/>
      <c r="D38" s="61"/>
      <c r="E38" s="18"/>
    </row>
    <row r="39" spans="2:5" x14ac:dyDescent="0.2">
      <c r="B39" s="60"/>
      <c r="C39" s="61"/>
      <c r="D39" s="61"/>
      <c r="E39" s="18"/>
    </row>
    <row r="40" spans="2:5" x14ac:dyDescent="0.2">
      <c r="B40" s="60"/>
      <c r="C40" s="61"/>
      <c r="D40" s="61"/>
      <c r="E40" s="18"/>
    </row>
    <row r="41" spans="2:5" x14ac:dyDescent="0.2">
      <c r="B41" s="60"/>
      <c r="C41" s="61"/>
      <c r="D41" s="61"/>
      <c r="E41" s="18"/>
    </row>
    <row r="42" spans="2:5" x14ac:dyDescent="0.2">
      <c r="B42" s="60"/>
      <c r="C42" s="61"/>
      <c r="D42" s="61"/>
      <c r="E42" s="18"/>
    </row>
    <row r="43" spans="2:5" x14ac:dyDescent="0.2">
      <c r="B43" s="60"/>
      <c r="C43" s="61"/>
      <c r="D43" s="61"/>
      <c r="E43" s="18"/>
    </row>
    <row r="44" spans="2:5" x14ac:dyDescent="0.2">
      <c r="B44" s="60"/>
      <c r="C44" s="61"/>
      <c r="D44" s="61"/>
      <c r="E44" s="18"/>
    </row>
    <row r="45" spans="2:5" x14ac:dyDescent="0.2">
      <c r="B45" s="60"/>
      <c r="C45" s="61"/>
      <c r="D45" s="61"/>
      <c r="E45" s="18"/>
    </row>
    <row r="46" spans="2:5" x14ac:dyDescent="0.2">
      <c r="B46" s="60"/>
      <c r="C46" s="61"/>
      <c r="D46" s="61"/>
      <c r="E46" s="18"/>
    </row>
    <row r="47" spans="2:5" x14ac:dyDescent="0.2">
      <c r="B47" s="60"/>
      <c r="C47" s="61"/>
      <c r="D47" s="61"/>
      <c r="E47" s="18"/>
    </row>
    <row r="48" spans="2:5" x14ac:dyDescent="0.2">
      <c r="B48" s="60"/>
      <c r="C48" s="61"/>
      <c r="D48" s="61"/>
      <c r="E48" s="18"/>
    </row>
  </sheetData>
  <autoFilter ref="B8:E8" xr:uid="{00000000-0001-0000-0100-000000000000}"/>
  <mergeCells count="4">
    <mergeCell ref="B2:E2"/>
    <mergeCell ref="B3:E3"/>
    <mergeCell ref="B4:E4"/>
    <mergeCell ref="B6:D6"/>
  </mergeCells>
  <phoneticPr fontId="4" type="noConversion"/>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8" r:id="rId4" name="Schaltfläche 4">
              <controlPr defaultSize="0" print="0" autoFill="0" autoPict="0" macro="[0]!AusgabenAusDateinamen">
                <anchor moveWithCells="1" sizeWithCells="1">
                  <from>
                    <xdr:col>3</xdr:col>
                    <xdr:colOff>1333500</xdr:colOff>
                    <xdr:row>2</xdr:row>
                    <xdr:rowOff>95250</xdr:rowOff>
                  </from>
                  <to>
                    <xdr:col>5</xdr:col>
                    <xdr:colOff>0</xdr:colOff>
                    <xdr:row>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Kategorien!$B$7:$B$23</xm:f>
          </x14:formula1>
          <xm:sqref>D9:D1048576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37381-3E46-49D2-AC33-1AF52A2BDC43}">
  <sheetPr codeName="Tabelle7">
    <pageSetUpPr autoPageBreaks="0"/>
  </sheetPr>
  <dimension ref="A1:H30"/>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82.85546875" style="56" customWidth="1"/>
    <col min="3" max="3" width="14.28515625" style="9" customWidth="1"/>
  </cols>
  <sheetData>
    <row r="1" spans="1:8" ht="8.1" customHeight="1" x14ac:dyDescent="0.6">
      <c r="A1" s="1"/>
      <c r="B1" s="2"/>
      <c r="C1" s="2"/>
    </row>
    <row r="2" spans="1:8" ht="37.5" customHeight="1" x14ac:dyDescent="0.2">
      <c r="A2" s="1"/>
      <c r="B2" s="74" t="s">
        <v>14</v>
      </c>
      <c r="C2" s="74"/>
    </row>
    <row r="3" spans="1:8" ht="15.75" customHeight="1" x14ac:dyDescent="0.2">
      <c r="A3" s="1"/>
      <c r="B3" s="75" t="str">
        <f>Kategorien!C3</f>
        <v>Meine Firma</v>
      </c>
      <c r="C3" s="75"/>
      <c r="D3" s="5"/>
      <c r="E3" s="4"/>
      <c r="F3" s="4"/>
      <c r="G3" s="4"/>
      <c r="H3" s="4"/>
    </row>
    <row r="4" spans="1:8" ht="15.75" customHeight="1" x14ac:dyDescent="0.2">
      <c r="A4" s="1"/>
      <c r="B4" s="75" t="str">
        <f>CONCATENATE("31.12.",Kategorien!C4)</f>
        <v>31.12.2022</v>
      </c>
      <c r="C4" s="75"/>
      <c r="D4" s="5"/>
      <c r="E4" s="4"/>
      <c r="F4" s="4"/>
      <c r="G4" s="4"/>
      <c r="H4" s="4"/>
    </row>
    <row r="5" spans="1:8" ht="15.75" customHeight="1" x14ac:dyDescent="0.2">
      <c r="B5"/>
      <c r="C5"/>
    </row>
    <row r="6" spans="1:8" ht="15.75" customHeight="1" x14ac:dyDescent="0.2">
      <c r="B6" s="12" t="s">
        <v>27</v>
      </c>
      <c r="C6" s="13">
        <f>SUM(C8:C999999)</f>
        <v>0</v>
      </c>
    </row>
    <row r="7" spans="1:8" ht="15.75" customHeight="1" x14ac:dyDescent="0.2">
      <c r="B7"/>
      <c r="C7"/>
    </row>
    <row r="8" spans="1:8" x14ac:dyDescent="0.2">
      <c r="B8" s="19" t="s">
        <v>3</v>
      </c>
      <c r="C8" s="20" t="s">
        <v>2</v>
      </c>
    </row>
    <row r="9" spans="1:8" x14ac:dyDescent="0.2">
      <c r="B9" s="62"/>
    </row>
    <row r="10" spans="1:8" x14ac:dyDescent="0.2">
      <c r="B10" s="62"/>
    </row>
    <row r="11" spans="1:8" x14ac:dyDescent="0.2">
      <c r="B11" s="62"/>
    </row>
    <row r="12" spans="1:8" x14ac:dyDescent="0.2">
      <c r="B12" s="62"/>
    </row>
    <row r="13" spans="1:8" x14ac:dyDescent="0.2">
      <c r="B13" s="62"/>
    </row>
    <row r="14" spans="1:8" x14ac:dyDescent="0.2">
      <c r="B14" s="62"/>
    </row>
    <row r="15" spans="1:8" x14ac:dyDescent="0.2">
      <c r="B15" s="62"/>
    </row>
    <row r="16" spans="1:8" x14ac:dyDescent="0.2">
      <c r="B16" s="62"/>
    </row>
    <row r="17" spans="2:2" x14ac:dyDescent="0.2">
      <c r="B17" s="62"/>
    </row>
    <row r="18" spans="2:2" x14ac:dyDescent="0.2">
      <c r="B18" s="62"/>
    </row>
    <row r="19" spans="2:2" x14ac:dyDescent="0.2">
      <c r="B19" s="62"/>
    </row>
    <row r="20" spans="2:2" x14ac:dyDescent="0.2">
      <c r="B20" s="62"/>
    </row>
    <row r="21" spans="2:2" x14ac:dyDescent="0.2">
      <c r="B21" s="62"/>
    </row>
    <row r="22" spans="2:2" x14ac:dyDescent="0.2">
      <c r="B22" s="62"/>
    </row>
    <row r="23" spans="2:2" x14ac:dyDescent="0.2">
      <c r="B23" s="62"/>
    </row>
    <row r="24" spans="2:2" x14ac:dyDescent="0.2">
      <c r="B24" s="62"/>
    </row>
    <row r="25" spans="2:2" x14ac:dyDescent="0.2">
      <c r="B25" s="62"/>
    </row>
    <row r="26" spans="2:2" x14ac:dyDescent="0.2">
      <c r="B26" s="62"/>
    </row>
    <row r="27" spans="2:2" x14ac:dyDescent="0.2">
      <c r="B27" s="62"/>
    </row>
    <row r="28" spans="2:2" x14ac:dyDescent="0.2">
      <c r="B28" s="62"/>
    </row>
    <row r="29" spans="2:2" x14ac:dyDescent="0.2">
      <c r="B29" s="62"/>
    </row>
    <row r="30" spans="2:2" x14ac:dyDescent="0.2">
      <c r="B30" s="62"/>
    </row>
  </sheetData>
  <autoFilter ref="B8:C8" xr:uid="{7BA37381-3E46-49D2-AC33-1AF52A2BDC43}"/>
  <mergeCells count="3">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7CF56-AD2B-4B5D-B9DE-3FBE37019F0B}">
  <sheetPr codeName="Tabelle8">
    <pageSetUpPr autoPageBreaks="0"/>
  </sheetPr>
  <dimension ref="A1:H41"/>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82.85546875" style="56" customWidth="1"/>
    <col min="3" max="3" width="14.28515625" style="9" customWidth="1"/>
  </cols>
  <sheetData>
    <row r="1" spans="1:8" ht="8.1" customHeight="1" x14ac:dyDescent="0.6">
      <c r="A1" s="1"/>
      <c r="B1" s="2"/>
      <c r="C1" s="2"/>
    </row>
    <row r="2" spans="1:8" ht="37.5" customHeight="1" x14ac:dyDescent="0.2">
      <c r="A2" s="1"/>
      <c r="B2" s="74" t="s">
        <v>15</v>
      </c>
      <c r="C2" s="74"/>
    </row>
    <row r="3" spans="1:8" ht="15.75" customHeight="1" x14ac:dyDescent="0.2">
      <c r="A3" s="1"/>
      <c r="B3" s="75" t="str">
        <f>Kategorien!C3</f>
        <v>Meine Firma</v>
      </c>
      <c r="C3" s="75"/>
      <c r="D3" s="5"/>
      <c r="E3" s="4"/>
      <c r="F3" s="4"/>
      <c r="G3" s="4"/>
      <c r="H3" s="4"/>
    </row>
    <row r="4" spans="1:8" ht="15.75" customHeight="1" x14ac:dyDescent="0.2">
      <c r="A4" s="1"/>
      <c r="B4" s="75" t="str">
        <f>CONCATENATE("31.12.",Kategorien!C4)</f>
        <v>31.12.2022</v>
      </c>
      <c r="C4" s="75"/>
      <c r="D4" s="5"/>
      <c r="E4" s="4"/>
      <c r="F4" s="4"/>
      <c r="G4" s="4"/>
      <c r="H4" s="4"/>
    </row>
    <row r="5" spans="1:8" ht="15.75" customHeight="1" x14ac:dyDescent="0.2">
      <c r="A5" s="1"/>
      <c r="B5" s="8"/>
      <c r="C5" s="8"/>
      <c r="D5" s="5"/>
      <c r="E5" s="4"/>
      <c r="F5" s="4"/>
      <c r="G5" s="4"/>
      <c r="H5" s="4"/>
    </row>
    <row r="6" spans="1:8" ht="15.75" customHeight="1" x14ac:dyDescent="0.2">
      <c r="A6" s="1"/>
      <c r="B6" s="14" t="s">
        <v>28</v>
      </c>
      <c r="C6" s="15">
        <f>SUM(C8:C999999)</f>
        <v>0</v>
      </c>
      <c r="D6" s="5"/>
      <c r="E6" s="4"/>
      <c r="F6" s="4"/>
      <c r="G6" s="4"/>
      <c r="H6" s="4"/>
    </row>
    <row r="7" spans="1:8" ht="15.75" customHeight="1" x14ac:dyDescent="0.2">
      <c r="B7"/>
      <c r="C7"/>
    </row>
    <row r="8" spans="1:8" x14ac:dyDescent="0.2">
      <c r="B8" s="19" t="s">
        <v>3</v>
      </c>
      <c r="C8" s="20" t="s">
        <v>2</v>
      </c>
    </row>
    <row r="9" spans="1:8" x14ac:dyDescent="0.2">
      <c r="B9" s="62"/>
    </row>
    <row r="10" spans="1:8" x14ac:dyDescent="0.2">
      <c r="B10" s="62"/>
    </row>
    <row r="11" spans="1:8" x14ac:dyDescent="0.2">
      <c r="B11" s="62"/>
    </row>
    <row r="12" spans="1:8" x14ac:dyDescent="0.2">
      <c r="B12" s="62"/>
    </row>
    <row r="13" spans="1:8" x14ac:dyDescent="0.2">
      <c r="B13" s="62"/>
    </row>
    <row r="14" spans="1:8" x14ac:dyDescent="0.2">
      <c r="B14" s="62"/>
    </row>
    <row r="15" spans="1:8" x14ac:dyDescent="0.2">
      <c r="B15" s="62"/>
    </row>
    <row r="16" spans="1:8" x14ac:dyDescent="0.2">
      <c r="B16" s="62"/>
    </row>
    <row r="17" spans="2:2" x14ac:dyDescent="0.2">
      <c r="B17" s="62"/>
    </row>
    <row r="18" spans="2:2" x14ac:dyDescent="0.2">
      <c r="B18" s="62"/>
    </row>
    <row r="19" spans="2:2" x14ac:dyDescent="0.2">
      <c r="B19" s="62"/>
    </row>
    <row r="20" spans="2:2" x14ac:dyDescent="0.2">
      <c r="B20" s="62"/>
    </row>
    <row r="21" spans="2:2" x14ac:dyDescent="0.2">
      <c r="B21" s="62"/>
    </row>
    <row r="22" spans="2:2" x14ac:dyDescent="0.2">
      <c r="B22" s="62"/>
    </row>
    <row r="23" spans="2:2" x14ac:dyDescent="0.2">
      <c r="B23" s="62"/>
    </row>
    <row r="24" spans="2:2" x14ac:dyDescent="0.2">
      <c r="B24" s="62"/>
    </row>
    <row r="25" spans="2:2" x14ac:dyDescent="0.2">
      <c r="B25" s="62"/>
    </row>
    <row r="26" spans="2:2" x14ac:dyDescent="0.2">
      <c r="B26" s="62"/>
    </row>
    <row r="27" spans="2:2" x14ac:dyDescent="0.2">
      <c r="B27" s="62"/>
    </row>
    <row r="28" spans="2:2" x14ac:dyDescent="0.2">
      <c r="B28" s="62"/>
    </row>
    <row r="29" spans="2:2" x14ac:dyDescent="0.2">
      <c r="B29" s="62"/>
    </row>
    <row r="30" spans="2:2" x14ac:dyDescent="0.2">
      <c r="B30" s="62"/>
    </row>
    <row r="31" spans="2:2" x14ac:dyDescent="0.2">
      <c r="B31" s="62"/>
    </row>
    <row r="32" spans="2:2" x14ac:dyDescent="0.2">
      <c r="B32" s="62"/>
    </row>
    <row r="33" spans="2:2" x14ac:dyDescent="0.2">
      <c r="B33" s="62"/>
    </row>
    <row r="34" spans="2:2" x14ac:dyDescent="0.2">
      <c r="B34" s="62"/>
    </row>
    <row r="35" spans="2:2" x14ac:dyDescent="0.2">
      <c r="B35" s="62"/>
    </row>
    <row r="36" spans="2:2" x14ac:dyDescent="0.2">
      <c r="B36" s="62"/>
    </row>
    <row r="37" spans="2:2" x14ac:dyDescent="0.2">
      <c r="B37" s="62"/>
    </row>
    <row r="38" spans="2:2" x14ac:dyDescent="0.2">
      <c r="B38" s="62"/>
    </row>
    <row r="39" spans="2:2" x14ac:dyDescent="0.2">
      <c r="B39" s="62"/>
    </row>
    <row r="40" spans="2:2" x14ac:dyDescent="0.2">
      <c r="B40" s="62"/>
    </row>
    <row r="41" spans="2:2" x14ac:dyDescent="0.2">
      <c r="B41" s="62"/>
    </row>
  </sheetData>
  <autoFilter ref="B8:C8" xr:uid="{B747CF56-AD2B-4B5D-B9DE-3FBE37019F0B}"/>
  <mergeCells count="3">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CFE4D60-F799-487E-9D2F-D1DCC1BF4C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4</vt:i4>
      </vt:variant>
    </vt:vector>
  </HeadingPairs>
  <TitlesOfParts>
    <vt:vector size="10" baseType="lpstr">
      <vt:lpstr>Kategorien</vt:lpstr>
      <vt:lpstr>Jahresabschluss</vt:lpstr>
      <vt:lpstr>Einnahmen</vt:lpstr>
      <vt:lpstr>Ausgaben</vt:lpstr>
      <vt:lpstr>Aktiven</vt:lpstr>
      <vt:lpstr>Passiven</vt:lpstr>
      <vt:lpstr>Ausgabekategorien</vt:lpstr>
      <vt:lpstr>Ausgaben!Drucktitel</vt:lpstr>
      <vt:lpstr>Einnahmen!Drucktitel</vt:lpstr>
      <vt:lpstr>Jahresabschluss!Print_Area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Corporation</dc:creator>
  <cp:keywords/>
  <dc:description/>
  <cp:lastModifiedBy>Marco Jakob</cp:lastModifiedBy>
  <cp:lastPrinted>2022-06-05T17:59:58Z</cp:lastPrinted>
  <dcterms:created xsi:type="dcterms:W3CDTF">2002-11-14T18:47:55Z</dcterms:created>
  <dcterms:modified xsi:type="dcterms:W3CDTF">2022-06-05T18:21:44Z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LCID">
    <vt:i4>1031</vt:i4>
  </property>
  <property fmtid="{D5CDD505-2E9C-101B-9397-08002B2CF9AE}" pid="3" name="_Version">
    <vt:lpwstr>0908</vt:lpwstr>
  </property>
  <property fmtid="{D5CDD505-2E9C-101B-9397-08002B2CF9AE}" pid="4" name="_TemplateID">
    <vt:lpwstr>TC100738821031</vt:lpwstr>
  </property>
</Properties>
</file>